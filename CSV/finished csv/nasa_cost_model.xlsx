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style7.xml" ContentType="application/vnd.ms-office.chartstyle+xml"/>
  <Override PartName="/xl/charts/colors7.xml" ContentType="application/vnd.ms-office.chartcolorstyle+xml"/>
  <Override PartName="/xl/charts/chart12.xml" ContentType="application/vnd.openxmlformats-officedocument.drawingml.chart+xml"/>
  <Override PartName="/xl/charts/chart13.xml" ContentType="application/vnd.openxmlformats-officedocument.drawingml.chart+xml"/>
  <Override PartName="/xl/charts/style8.xml" ContentType="application/vnd.ms-office.chartstyle+xml"/>
  <Override PartName="/xl/charts/colors8.xml" ContentType="application/vnd.ms-office.chartcolorstyle+xml"/>
  <Override PartName="/xl/charts/chart1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mc:AlternateContent xmlns:mc="http://schemas.openxmlformats.org/markup-compatibility/2006">
    <mc:Choice Requires="x15">
      <x15ac:absPath xmlns:x15ac="http://schemas.microsoft.com/office/spreadsheetml/2010/11/ac" url="C:\Users\camda\Downloads\CODING\Learning Data Analytics-Science\SQL\NEW PROJ\csv\"/>
    </mc:Choice>
  </mc:AlternateContent>
  <xr:revisionPtr revIDLastSave="0" documentId="13_ncr:1_{1366AB89-8FCF-43CE-AB52-0696311B2E2A}" xr6:coauthVersionLast="47" xr6:coauthVersionMax="47" xr10:uidLastSave="{00000000-0000-0000-0000-000000000000}"/>
  <bookViews>
    <workbookView xWindow="-120" yWindow="-120" windowWidth="29040" windowHeight="15840" tabRatio="500" activeTab="3" xr2:uid="{00000000-000D-0000-FFFF-FFFF00000000}"/>
  </bookViews>
  <sheets>
    <sheet name="Summary" sheetId="1" r:id="rId1"/>
    <sheet name="Scenario_Model" sheetId="2" r:id="rId2"/>
    <sheet name="Pivot tables" sheetId="10" r:id="rId3"/>
    <sheet name="cost_view" sheetId="3" r:id="rId4"/>
    <sheet name="cost_risk_view" sheetId="4" r:id="rId5"/>
    <sheet name="cost_by_year" sheetId="5" r:id="rId6"/>
    <sheet name="plan_vs_actual" sheetId="6" r:id="rId7"/>
    <sheet name="scenario_summary" sheetId="7" r:id="rId8"/>
    <sheet name="outyear_projection" sheetId="8" r:id="rId9"/>
    <sheet name="mission_detail" sheetId="9" r:id="rId10"/>
  </sheets>
  <definedNames>
    <definedName name="Slicer_Destination">#N/A</definedName>
    <definedName name="Slicer_Destination1">#N/A</definedName>
    <definedName name="Slicer_Mission_Era">#N/A</definedName>
    <definedName name="Slicer_Mission_Type">#N/A</definedName>
  </definedNames>
  <calcPr calcId="191029"/>
  <pivotCaches>
    <pivotCache cacheId="0" r:id="rId11"/>
    <pivotCache cacheId="1" r:id="rId12"/>
    <pivotCache cacheId="2" r:id="rId13"/>
    <pivotCache cacheId="3" r:id="rId14"/>
  </pivotCaches>
  <extLst>
    <ext xmlns:x14="http://schemas.microsoft.com/office/spreadsheetml/2009/9/main" uri="{BBE1A952-AA13-448e-AADC-164F8A28A991}">
      <x14:slicerCaches>
        <x14:slicerCache r:id="rId15"/>
        <x14:slicerCache r:id="rId16"/>
        <x14:slicerCache r:id="rId17"/>
        <x14:slicerCache r:id="rId1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16" i="2" l="1"/>
  <c r="C16" i="2"/>
  <c r="B37" i="1" s="1"/>
  <c r="B16" i="2"/>
  <c r="I15" i="2"/>
  <c r="J15" i="2" s="1"/>
  <c r="G15" i="2"/>
  <c r="H15" i="2" s="1"/>
  <c r="E15" i="2"/>
  <c r="F15" i="2" s="1"/>
  <c r="J14" i="2"/>
  <c r="I14" i="2"/>
  <c r="G14" i="2"/>
  <c r="H14" i="2" s="1"/>
  <c r="E14" i="2"/>
  <c r="F14" i="2" s="1"/>
  <c r="I13" i="2"/>
  <c r="J13" i="2" s="1"/>
  <c r="H13" i="2"/>
  <c r="G13" i="2"/>
  <c r="E13" i="2"/>
  <c r="F13" i="2" s="1"/>
  <c r="I12" i="2"/>
  <c r="J12" i="2" s="1"/>
  <c r="G12" i="2"/>
  <c r="H12" i="2" s="1"/>
  <c r="F12" i="2"/>
  <c r="E12" i="2"/>
  <c r="I11" i="2"/>
  <c r="I16" i="2" s="1"/>
  <c r="C37" i="1" s="1"/>
  <c r="G11" i="2"/>
  <c r="G16" i="2" s="1"/>
  <c r="C36" i="1" s="1"/>
  <c r="E11" i="2"/>
  <c r="E16" i="2" s="1"/>
  <c r="C35" i="1" s="1"/>
  <c r="B35" i="1"/>
  <c r="G25" i="1"/>
  <c r="F25" i="1"/>
  <c r="E25" i="1"/>
  <c r="D25" i="1"/>
  <c r="C25" i="1"/>
  <c r="B25" i="1"/>
  <c r="G5" i="1"/>
  <c r="F5" i="1"/>
  <c r="E5" i="1"/>
  <c r="D5" i="1"/>
  <c r="C5" i="1"/>
  <c r="B5" i="1"/>
  <c r="A5" i="1"/>
  <c r="B36" i="1" l="1"/>
  <c r="H11" i="2"/>
  <c r="F11" i="2"/>
  <c r="J11" i="2"/>
  <c r="J16" i="2" l="1"/>
  <c r="D37" i="1" s="1"/>
  <c r="E37" i="1" s="1"/>
  <c r="B22" i="2"/>
  <c r="C22" i="2" s="1"/>
  <c r="B21" i="2"/>
  <c r="C21" i="2" s="1"/>
  <c r="F16" i="2"/>
  <c r="D35" i="1" s="1"/>
  <c r="E35" i="1" s="1"/>
  <c r="B19" i="2"/>
  <c r="C19" i="2" s="1"/>
  <c r="H16" i="2"/>
  <c r="D36" i="1" s="1"/>
  <c r="E36" i="1" s="1"/>
  <c r="B20" i="2"/>
  <c r="C20" i="2" s="1"/>
</calcChain>
</file>

<file path=xl/sharedStrings.xml><?xml version="1.0" encoding="utf-8"?>
<sst xmlns="http://schemas.openxmlformats.org/spreadsheetml/2006/main" count="1054" uniqueCount="246">
  <si>
    <t>NASA INTERPLANETARY MISSIONS — EXECUTIVE SUMMARY</t>
  </si>
  <si>
    <t>Portfolio overview  |  25 missions  |  1989–2023  |  All costs in $M (NSII 2022$)</t>
  </si>
  <si>
    <t>Total Portfolio Budget</t>
  </si>
  <si>
    <t>Total Actual Cost</t>
  </si>
  <si>
    <t>Avg Cost Overrun %</t>
  </si>
  <si>
    <t>Missions Over Budget</t>
  </si>
  <si>
    <t>Success Rate</t>
  </si>
  <si>
    <t>Highest Overrun Mission</t>
  </si>
  <si>
    <t>Largest Under-Budget</t>
  </si>
  <si>
    <t>COST BY LAUNCH YEAR</t>
  </si>
  <si>
    <t>Launch Year</t>
  </si>
  <si>
    <t># Missions</t>
  </si>
  <si>
    <t>Dev Cost ($M)</t>
  </si>
  <si>
    <t>Launch Cost ($M)</t>
  </si>
  <si>
    <t>Ops Cost ($M)</t>
  </si>
  <si>
    <t>Extension Cost ($M)</t>
  </si>
  <si>
    <t>Total ($M)</t>
  </si>
  <si>
    <t>TOTAL</t>
  </si>
  <si>
    <t>BUDGET VARIANCE BREAKDOWN</t>
  </si>
  <si>
    <t>Variance Category</t>
  </si>
  <si>
    <t>Successes</t>
  </si>
  <si>
    <t>Failures</t>
  </si>
  <si>
    <t>Avg Overrun %</t>
  </si>
  <si>
    <t>1 - Under Budget</t>
  </si>
  <si>
    <t>3 - Minor Overrun     (0-20%)</t>
  </si>
  <si>
    <t>4 - Major Overrun     (20-50%)</t>
  </si>
  <si>
    <t>5 - Critical Overrun  (&gt;50%)</t>
  </si>
  <si>
    <t>SCENARIO EXPOSURE SNAPSHOT  (linked to Scenario_Model)</t>
  </si>
  <si>
    <t>Scenario</t>
  </si>
  <si>
    <t>Original Budget ($M)</t>
  </si>
  <si>
    <t>Projected Cost ($M)</t>
  </si>
  <si>
    <t>Additional Exposure ($M)</t>
  </si>
  <si>
    <t>Exposure %</t>
  </si>
  <si>
    <t>Optimistic</t>
  </si>
  <si>
    <t>Base</t>
  </si>
  <si>
    <t>Pessimistic</t>
  </si>
  <si>
    <t>NASA INTERPLANETARY MISSIONS — SCENARIO COST MODEL</t>
  </si>
  <si>
    <t>Budget exposure analysis across Optimistic / Base / Pessimistic scenarios  |  All costs in $M (NSII inflation-adjusted to 2022$)</t>
  </si>
  <si>
    <t>MODEL ASSUMPTIONS</t>
  </si>
  <si>
    <t>Optimistic Multiplier</t>
  </si>
  <si>
    <t>← 50% of historical overrun</t>
  </si>
  <si>
    <t>Base Multiplier</t>
  </si>
  <si>
    <t>← Matches historical overrun exactly</t>
  </si>
  <si>
    <t>Pessimistic Multiplier</t>
  </si>
  <si>
    <t>← 150% of historical overrun</t>
  </si>
  <si>
    <t>Annual Cost Escalation</t>
  </si>
  <si>
    <t>← NASA avg. annual cost escalation</t>
  </si>
  <si>
    <t>Mission Type</t>
  </si>
  <si>
    <t>Missions
(#)</t>
  </si>
  <si>
    <t>Original
Budget ($M)</t>
  </si>
  <si>
    <t>Hist. Overrun
(%)</t>
  </si>
  <si>
    <t>Optimistic
Projection ($M)</t>
  </si>
  <si>
    <t>Optimistic
Exposure ($M)</t>
  </si>
  <si>
    <t>Base
Projection ($M)</t>
  </si>
  <si>
    <t>Base
Exposure ($M)</t>
  </si>
  <si>
    <t>Pessimistic
Projection ($M)</t>
  </si>
  <si>
    <t>Pessimistic
Exposure ($M)</t>
  </si>
  <si>
    <t>Orbiter</t>
  </si>
  <si>
    <t>Flyby</t>
  </si>
  <si>
    <t>Sample Return</t>
  </si>
  <si>
    <t>Rover</t>
  </si>
  <si>
    <t>Impact</t>
  </si>
  <si>
    <t>TOTAL PORTFOLIO</t>
  </si>
  <si>
    <t>SCENARIO RANGE SUMMARY</t>
  </si>
  <si>
    <t>Optimistic Total Exposure</t>
  </si>
  <si>
    <t>Base Total Exposure</t>
  </si>
  <si>
    <t>Pessimistic Total Exposure</t>
  </si>
  <si>
    <t>Min–Max Scenario Range</t>
  </si>
  <si>
    <t>Mission</t>
  </si>
  <si>
    <t>Initiative</t>
  </si>
  <si>
    <t>Destination</t>
  </si>
  <si>
    <t>Mission_Type</t>
  </si>
  <si>
    <t>Fiscal_Year</t>
  </si>
  <si>
    <t>Mission_Era</t>
  </si>
  <si>
    <t>Budget_Amount</t>
  </si>
  <si>
    <t>Actual_Cost</t>
  </si>
  <si>
    <t>Cost_Variance</t>
  </si>
  <si>
    <t>Cost_Variance_Pct</t>
  </si>
  <si>
    <t>Budget_Status</t>
  </si>
  <si>
    <t>Total_Mission_Cost</t>
  </si>
  <si>
    <t>Total_Dev_Cost</t>
  </si>
  <si>
    <t>Total_Launch_Cost</t>
  </si>
  <si>
    <t>Total_Ops_Cost</t>
  </si>
  <si>
    <t>Total_Extension_Cost</t>
  </si>
  <si>
    <t>Dev_Cost_Share_Pct</t>
  </si>
  <si>
    <t>Launch_Cost_Share_Pct</t>
  </si>
  <si>
    <t>Ops_Cost_Share_Pct</t>
  </si>
  <si>
    <t>Extension_Cost_Share_Pct</t>
  </si>
  <si>
    <t>Annual_Ops_Cost</t>
  </si>
  <si>
    <t>Mission_Duration_Yrs</t>
  </si>
  <si>
    <t>Total_Program_Yrs</t>
  </si>
  <si>
    <t>Schedule_Variance_Months</t>
  </si>
  <si>
    <t>Schedule_Status</t>
  </si>
  <si>
    <t>Success</t>
  </si>
  <si>
    <t>Is_Success</t>
  </si>
  <si>
    <t>Is_Failure</t>
  </si>
  <si>
    <t>Is_Operational</t>
  </si>
  <si>
    <t>2001 Mars Odyssey</t>
  </si>
  <si>
    <t>Mars Surveyor</t>
  </si>
  <si>
    <t>Mars</t>
  </si>
  <si>
    <t>2000s</t>
  </si>
  <si>
    <t>Slightly Delayed</t>
  </si>
  <si>
    <t>Operational</t>
  </si>
  <si>
    <t>Cassini</t>
  </si>
  <si>
    <t>Independent</t>
  </si>
  <si>
    <t>Saturn</t>
  </si>
  <si>
    <t>1990s</t>
  </si>
  <si>
    <t>Significantly Delayed</t>
  </si>
  <si>
    <t>Contour</t>
  </si>
  <si>
    <t>Discovery 6</t>
  </si>
  <si>
    <t>Comet</t>
  </si>
  <si>
    <t>Failure</t>
  </si>
  <si>
    <t>Dart</t>
  </si>
  <si>
    <t>Planetary Def</t>
  </si>
  <si>
    <t>Asteroid</t>
  </si>
  <si>
    <t>2020s</t>
  </si>
  <si>
    <t>Dawn</t>
  </si>
  <si>
    <t>Discovery 9</t>
  </si>
  <si>
    <t>Deep Space 1</t>
  </si>
  <si>
    <t>New Millennium</t>
  </si>
  <si>
    <t>On Schedule</t>
  </si>
  <si>
    <t>Galileo</t>
  </si>
  <si>
    <t>Jupiter</t>
  </si>
  <si>
    <t>Genesis</t>
  </si>
  <si>
    <t>Discovery 5</t>
  </si>
  <si>
    <t>L1</t>
  </si>
  <si>
    <t>Grail-A</t>
  </si>
  <si>
    <t>Discovery 11A</t>
  </si>
  <si>
    <t>Lunar</t>
  </si>
  <si>
    <t>2010s</t>
  </si>
  <si>
    <t>Grail-B</t>
  </si>
  <si>
    <t>Discovery 11B</t>
  </si>
  <si>
    <t>Juno</t>
  </si>
  <si>
    <t>New Frontiers 2</t>
  </si>
  <si>
    <t>Ladee</t>
  </si>
  <si>
    <t>Lucy</t>
  </si>
  <si>
    <t>Discovery 13</t>
  </si>
  <si>
    <t>Lunar Prospector</t>
  </si>
  <si>
    <t>Discovery 3</t>
  </si>
  <si>
    <t>Mars Climate Orbiter</t>
  </si>
  <si>
    <t>MPLMCO 1 of 2</t>
  </si>
  <si>
    <t>Mars Global Surveyor</t>
  </si>
  <si>
    <t>Ahead of Schedule</t>
  </si>
  <si>
    <t>Mars Observer</t>
  </si>
  <si>
    <t>Mars Recon Orbiter</t>
  </si>
  <si>
    <t>MAVEN</t>
  </si>
  <si>
    <t>Scout 2</t>
  </si>
  <si>
    <t>Messenger</t>
  </si>
  <si>
    <t>Discovery 7</t>
  </si>
  <si>
    <t>Mercury</t>
  </si>
  <si>
    <t>MSL - Curiosity</t>
  </si>
  <si>
    <t>Flagship</t>
  </si>
  <si>
    <t>NEAR Shoemaker</t>
  </si>
  <si>
    <t>Discovery 1</t>
  </si>
  <si>
    <t>Osiris-Rex</t>
  </si>
  <si>
    <t>New Frontiers 3</t>
  </si>
  <si>
    <t>Psyche</t>
  </si>
  <si>
    <t>Discovery 14</t>
  </si>
  <si>
    <t>Asteroid Belt</t>
  </si>
  <si>
    <t>Stardust</t>
  </si>
  <si>
    <t>Discovery 4</t>
  </si>
  <si>
    <t>Launch_Vehicle</t>
  </si>
  <si>
    <t>PDR_to_CDR_Days</t>
  </si>
  <si>
    <t>CDR_to_Launch_Days</t>
  </si>
  <si>
    <t>Complexity_Score</t>
  </si>
  <si>
    <t>Has_AKM</t>
  </si>
  <si>
    <t>Has_Probe</t>
  </si>
  <si>
    <t>Has_Cruise</t>
  </si>
  <si>
    <t>Has_Aeroshield</t>
  </si>
  <si>
    <t>Has_Ballast</t>
  </si>
  <si>
    <t>Has_Lander</t>
  </si>
  <si>
    <t>Num_Deployments</t>
  </si>
  <si>
    <t>Num_Instruments</t>
  </si>
  <si>
    <t>Num_Objectives</t>
  </si>
  <si>
    <t>Launch_Mass_kg</t>
  </si>
  <si>
    <t>Dry_Mass_kg</t>
  </si>
  <si>
    <t>Fuel_Mass_kg</t>
  </si>
  <si>
    <t>Instrument_Mass_kg</t>
  </si>
  <si>
    <t>Fuel_Fraction_Pct</t>
  </si>
  <si>
    <t>Instrument_Mass_Fraction_Pct</t>
  </si>
  <si>
    <t>Power_Source</t>
  </si>
  <si>
    <t>BOL_Power_W</t>
  </si>
  <si>
    <t>BOM_Power_W</t>
  </si>
  <si>
    <t>Instrument_Power_W</t>
  </si>
  <si>
    <t>Power_Degradation_Pct</t>
  </si>
  <si>
    <t>Instrument_Power_Fraction_Pct</t>
  </si>
  <si>
    <t>Composite_Risk_Score</t>
  </si>
  <si>
    <t>Delta 7925</t>
  </si>
  <si>
    <t>SA</t>
  </si>
  <si>
    <t>Titan 4</t>
  </si>
  <si>
    <t>RTG</t>
  </si>
  <si>
    <t>Delta 7425</t>
  </si>
  <si>
    <t>Falcon 9</t>
  </si>
  <si>
    <t>Delta 7326</t>
  </si>
  <si>
    <t>STS 34</t>
  </si>
  <si>
    <t>Delta 7920</t>
  </si>
  <si>
    <t>Atlas 5</t>
  </si>
  <si>
    <t>Minotaur V</t>
  </si>
  <si>
    <t>Athena 2</t>
  </si>
  <si>
    <t>Titan 3</t>
  </si>
  <si>
    <t>Falcon Heavy</t>
  </si>
  <si>
    <t>Delta 7426</t>
  </si>
  <si>
    <t>Launch_Year</t>
  </si>
  <si>
    <t>Num_Missions</t>
  </si>
  <si>
    <t>LaunchY</t>
  </si>
  <si>
    <t>Planned_Budget</t>
  </si>
  <si>
    <t>Variance_Amount</t>
  </si>
  <si>
    <t>Variance_Pct</t>
  </si>
  <si>
    <t>Variance_Category</t>
  </si>
  <si>
    <t>Row_Label</t>
  </si>
  <si>
    <t>Total_Original_Budget</t>
  </si>
  <si>
    <t>Optimistic_Projected</t>
  </si>
  <si>
    <t>Optimistic_Exposure</t>
  </si>
  <si>
    <t>Base_Projected</t>
  </si>
  <si>
    <t>Base_Exposure</t>
  </si>
  <si>
    <t>Pessimistic_Projected</t>
  </si>
  <si>
    <t>Pessimistic_Exposure</t>
  </si>
  <si>
    <t>Scenario_Range</t>
  </si>
  <si>
    <t>Historical_Overrun_Pct</t>
  </si>
  <si>
    <t>Sort_Order</t>
  </si>
  <si>
    <t>Years_Out</t>
  </si>
  <si>
    <t>Base_Projection</t>
  </si>
  <si>
    <t>Risk_Adjusted_Projection</t>
  </si>
  <si>
    <t>Projected_Dev_Cost</t>
  </si>
  <si>
    <t>Projected_Ops_Cost</t>
  </si>
  <si>
    <t>Proposed_Cost</t>
  </si>
  <si>
    <t>Realized_Cost</t>
  </si>
  <si>
    <t>Row Labels</t>
  </si>
  <si>
    <t>Grand Total</t>
  </si>
  <si>
    <t>Sum of Planned_Budget</t>
  </si>
  <si>
    <t>Sum of Actual_Cost</t>
  </si>
  <si>
    <t>Sum of Variance_Amount</t>
  </si>
  <si>
    <t>Average of Variance_Pct</t>
  </si>
  <si>
    <t>Column Labels</t>
  </si>
  <si>
    <t>Sum of Total_Mission_Cost</t>
  </si>
  <si>
    <t>Sum of Is_Failure</t>
  </si>
  <si>
    <t>Count of Mission</t>
  </si>
  <si>
    <t>Average of Cost_Variance_Pct</t>
  </si>
  <si>
    <t>Sum of Total_Dev_Cost</t>
  </si>
  <si>
    <t>Sum of Total_Launch_Cost</t>
  </si>
  <si>
    <t>Sum of Total_Ops_Cost</t>
  </si>
  <si>
    <t>Sum of Total_Extension_Cost</t>
  </si>
  <si>
    <t>(All)</t>
  </si>
  <si>
    <t>Average of Complexity_Score</t>
  </si>
  <si>
    <t>Average of Mission_Duration_Yrs</t>
  </si>
  <si>
    <t>Average of Schedule_Variance_Months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</si>
</sst>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
    <numFmt numFmtId="165" formatCode="0.0%"/>
    <numFmt numFmtId="166" formatCode="0.0"/>
  </numFmts>
  <fonts count="15" x14ac:knownFonts="1">
    <font>
      <sz val="11"/>
      <color theme="1"/>
      <name val="Calibri"/>
      <family val="2"/>
      <charset val="1"/>
    </font>
    <font>
      <b/>
      <sz val="17"/>
      <color rgb="FFFFFFFF"/>
      <name val="Arial"/>
      <charset val="1"/>
    </font>
    <font>
      <i/>
      <sz val="10"/>
      <color rgb="FFC9A84C"/>
      <name val="Arial"/>
      <charset val="1"/>
    </font>
    <font>
      <b/>
      <sz val="9"/>
      <color rgb="FFFFFFFF"/>
      <name val="Arial"/>
      <charset val="1"/>
    </font>
    <font>
      <b/>
      <sz val="14"/>
      <color rgb="FFFFFFFF"/>
      <name val="Arial"/>
      <charset val="1"/>
    </font>
    <font>
      <b/>
      <sz val="11"/>
      <color rgb="FFFFFFFF"/>
      <name val="Arial"/>
      <charset val="1"/>
    </font>
    <font>
      <sz val="10"/>
      <color rgb="FF000000"/>
      <name val="Arial"/>
      <charset val="1"/>
    </font>
    <font>
      <b/>
      <sz val="10"/>
      <color rgb="FFFFFFFF"/>
      <name val="Arial"/>
      <charset val="1"/>
    </font>
    <font>
      <b/>
      <sz val="10"/>
      <color rgb="FF000000"/>
      <name val="Arial"/>
      <charset val="1"/>
    </font>
    <font>
      <b/>
      <sz val="16"/>
      <color rgb="FFFFFFFF"/>
      <name val="Arial"/>
      <charset val="1"/>
    </font>
    <font>
      <b/>
      <sz val="10"/>
      <color rgb="FF0000FF"/>
      <name val="Arial"/>
      <charset val="1"/>
    </font>
    <font>
      <i/>
      <sz val="9"/>
      <color rgb="FF666666"/>
      <name val="Arial"/>
      <charset val="1"/>
    </font>
    <font>
      <sz val="10"/>
      <color rgb="FF0000FF"/>
      <name val="Arial"/>
      <charset val="1"/>
    </font>
    <font>
      <sz val="9"/>
      <color rgb="FF000000"/>
      <name val="Arial"/>
      <charset val="1"/>
    </font>
    <font>
      <b/>
      <sz val="9"/>
      <color rgb="FFFFFFFF"/>
      <name val="Arial"/>
      <family val="2"/>
    </font>
  </fonts>
  <fills count="20">
    <fill>
      <patternFill patternType="none"/>
    </fill>
    <fill>
      <patternFill patternType="gray125"/>
    </fill>
    <fill>
      <patternFill patternType="solid">
        <fgColor rgb="FF0D1B2A"/>
        <bgColor rgb="FF000000"/>
      </patternFill>
    </fill>
    <fill>
      <patternFill patternType="solid">
        <fgColor rgb="FF1B3A5C"/>
        <bgColor rgb="FF333333"/>
      </patternFill>
    </fill>
    <fill>
      <patternFill patternType="solid">
        <fgColor rgb="FF2E6DA4"/>
        <bgColor rgb="FF4F81BD"/>
      </patternFill>
    </fill>
    <fill>
      <patternFill patternType="solid">
        <fgColor rgb="FF8B1A1A"/>
        <bgColor rgb="FF800000"/>
      </patternFill>
    </fill>
    <fill>
      <patternFill patternType="solid">
        <fgColor rgb="FF1A7A3F"/>
        <bgColor rgb="FF008080"/>
      </patternFill>
    </fill>
    <fill>
      <patternFill patternType="solid">
        <fgColor rgb="FFF5F5F5"/>
        <bgColor rgb="FFF9F9F9"/>
      </patternFill>
    </fill>
    <fill>
      <patternFill patternType="solid">
        <fgColor rgb="FFFFFFFF"/>
        <bgColor rgb="FFF9F9F9"/>
      </patternFill>
    </fill>
    <fill>
      <patternFill patternType="solid">
        <fgColor rgb="FFB3E5FC"/>
        <bgColor rgb="FFD6E4F0"/>
      </patternFill>
    </fill>
    <fill>
      <patternFill patternType="solid">
        <fgColor rgb="FFFFF9C4"/>
        <bgColor rgb="FFFFF8E1"/>
      </patternFill>
    </fill>
    <fill>
      <patternFill patternType="solid">
        <fgColor rgb="FFFFE0CC"/>
        <bgColor rgb="FFFCE4EC"/>
      </patternFill>
    </fill>
    <fill>
      <patternFill patternType="solid">
        <fgColor rgb="FFFFCCCC"/>
        <bgColor rgb="FFFFE0CC"/>
      </patternFill>
    </fill>
    <fill>
      <patternFill patternType="solid">
        <fgColor rgb="FFC8E6C9"/>
        <bgColor rgb="FFD9D9D9"/>
      </patternFill>
    </fill>
    <fill>
      <patternFill patternType="solid">
        <fgColor rgb="FFD6E4F0"/>
        <bgColor rgb="FFD9D9D9"/>
      </patternFill>
    </fill>
    <fill>
      <patternFill patternType="solid">
        <fgColor rgb="FFFFFDE7"/>
        <bgColor rgb="FFFFF8E1"/>
      </patternFill>
    </fill>
    <fill>
      <patternFill patternType="solid">
        <fgColor rgb="FFE8F4E8"/>
        <bgColor rgb="FFF5F5F5"/>
      </patternFill>
    </fill>
    <fill>
      <patternFill patternType="solid">
        <fgColor rgb="FFFFF8E1"/>
        <bgColor rgb="FFFFFDE7"/>
      </patternFill>
    </fill>
    <fill>
      <patternFill patternType="solid">
        <fgColor rgb="FFFCE4EC"/>
        <bgColor rgb="FFF3E5F5"/>
      </patternFill>
    </fill>
    <fill>
      <patternFill patternType="solid">
        <fgColor rgb="FFF3E5F5"/>
        <bgColor rgb="FFFCE4EC"/>
      </patternFill>
    </fill>
  </fills>
  <borders count="2">
    <border>
      <left/>
      <right/>
      <top/>
      <bottom/>
      <diagonal/>
    </border>
    <border>
      <left style="thin">
        <color rgb="FFAAAAAA"/>
      </left>
      <right style="thin">
        <color rgb="FFAAAAAA"/>
      </right>
      <top style="thin">
        <color rgb="FFAAAAAA"/>
      </top>
      <bottom style="thin">
        <color rgb="FFAAAAAA"/>
      </bottom>
      <diagonal/>
    </border>
  </borders>
  <cellStyleXfs count="1">
    <xf numFmtId="0" fontId="0" fillId="0" borderId="0"/>
  </cellStyleXfs>
  <cellXfs count="89">
    <xf numFmtId="0" fontId="0" fillId="0" borderId="0" xfId="0"/>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164" fontId="4" fillId="4" borderId="1" xfId="0" applyNumberFormat="1" applyFont="1" applyFill="1" applyBorder="1" applyAlignment="1">
      <alignment horizontal="center" vertical="center" wrapText="1"/>
    </xf>
    <xf numFmtId="165" fontId="4" fillId="5" borderId="1" xfId="0" applyNumberFormat="1" applyFont="1" applyFill="1" applyBorder="1" applyAlignment="1">
      <alignment horizontal="center" vertical="center" wrapText="1"/>
    </xf>
    <xf numFmtId="1" fontId="4" fillId="5" borderId="1" xfId="0" applyNumberFormat="1" applyFont="1" applyFill="1" applyBorder="1" applyAlignment="1">
      <alignment horizontal="center" vertical="center" wrapText="1"/>
    </xf>
    <xf numFmtId="165" fontId="4" fillId="6" borderId="1" xfId="0" applyNumberFormat="1" applyFont="1" applyFill="1" applyBorder="1" applyAlignment="1">
      <alignment horizontal="center" vertical="center" wrapText="1"/>
    </xf>
    <xf numFmtId="49" fontId="4" fillId="3" borderId="1" xfId="0" applyNumberFormat="1" applyFont="1" applyFill="1" applyBorder="1" applyAlignment="1">
      <alignment horizontal="center" vertical="center" wrapText="1"/>
    </xf>
    <xf numFmtId="0" fontId="0" fillId="4" borderId="1" xfId="0" applyFill="1" applyBorder="1"/>
    <xf numFmtId="0" fontId="0" fillId="5" borderId="1" xfId="0" applyFill="1" applyBorder="1"/>
    <xf numFmtId="0" fontId="0" fillId="6" borderId="1" xfId="0" applyFill="1" applyBorder="1"/>
    <xf numFmtId="0" fontId="0" fillId="3" borderId="1" xfId="0" applyFill="1" applyBorder="1"/>
    <xf numFmtId="49" fontId="6" fillId="7" borderId="1" xfId="0" applyNumberFormat="1" applyFont="1" applyFill="1" applyBorder="1" applyAlignment="1">
      <alignment horizontal="center" vertical="center" wrapText="1"/>
    </xf>
    <xf numFmtId="1" fontId="6" fillId="7" borderId="1" xfId="0" applyNumberFormat="1" applyFont="1" applyFill="1" applyBorder="1" applyAlignment="1">
      <alignment horizontal="center" vertical="center" wrapText="1"/>
    </xf>
    <xf numFmtId="164" fontId="6" fillId="7" borderId="1" xfId="0" applyNumberFormat="1" applyFont="1" applyFill="1" applyBorder="1" applyAlignment="1">
      <alignment horizontal="center" vertical="center" wrapText="1"/>
    </xf>
    <xf numFmtId="49" fontId="6" fillId="8" borderId="1" xfId="0" applyNumberFormat="1" applyFont="1" applyFill="1" applyBorder="1" applyAlignment="1">
      <alignment horizontal="center" vertical="center" wrapText="1"/>
    </xf>
    <xf numFmtId="1" fontId="6" fillId="8" borderId="1" xfId="0" applyNumberFormat="1" applyFont="1" applyFill="1" applyBorder="1" applyAlignment="1">
      <alignment horizontal="center" vertical="center" wrapText="1"/>
    </xf>
    <xf numFmtId="164" fontId="6" fillId="8"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 fontId="7" fillId="2" borderId="1" xfId="0" applyNumberFormat="1" applyFont="1" applyFill="1" applyBorder="1" applyAlignment="1">
      <alignment horizontal="center" vertical="center" wrapText="1"/>
    </xf>
    <xf numFmtId="164" fontId="7" fillId="2" borderId="1" xfId="0" applyNumberFormat="1" applyFont="1" applyFill="1" applyBorder="1" applyAlignment="1">
      <alignment horizontal="center" vertical="center" wrapText="1"/>
    </xf>
    <xf numFmtId="49" fontId="6" fillId="9" borderId="1" xfId="0" applyNumberFormat="1" applyFont="1" applyFill="1" applyBorder="1" applyAlignment="1">
      <alignment horizontal="left" vertical="center"/>
    </xf>
    <xf numFmtId="1" fontId="6" fillId="9" borderId="1" xfId="0" applyNumberFormat="1" applyFont="1" applyFill="1" applyBorder="1" applyAlignment="1">
      <alignment horizontal="center" vertical="center" wrapText="1"/>
    </xf>
    <xf numFmtId="165" fontId="6" fillId="9" borderId="1" xfId="0" applyNumberFormat="1" applyFont="1" applyFill="1" applyBorder="1" applyAlignment="1">
      <alignment horizontal="center" vertical="center" wrapText="1"/>
    </xf>
    <xf numFmtId="49" fontId="6" fillId="10" borderId="1" xfId="0" applyNumberFormat="1" applyFont="1" applyFill="1" applyBorder="1" applyAlignment="1">
      <alignment horizontal="left" vertical="center"/>
    </xf>
    <xf numFmtId="1" fontId="6" fillId="10" borderId="1" xfId="0" applyNumberFormat="1" applyFont="1" applyFill="1" applyBorder="1" applyAlignment="1">
      <alignment horizontal="center" vertical="center" wrapText="1"/>
    </xf>
    <xf numFmtId="165" fontId="6" fillId="10" borderId="1" xfId="0" applyNumberFormat="1" applyFont="1" applyFill="1" applyBorder="1" applyAlignment="1">
      <alignment horizontal="center" vertical="center" wrapText="1"/>
    </xf>
    <xf numFmtId="49" fontId="6" fillId="11" borderId="1" xfId="0" applyNumberFormat="1" applyFont="1" applyFill="1" applyBorder="1" applyAlignment="1">
      <alignment horizontal="left" vertical="center"/>
    </xf>
    <xf numFmtId="1" fontId="6" fillId="11" borderId="1" xfId="0" applyNumberFormat="1" applyFont="1" applyFill="1" applyBorder="1" applyAlignment="1">
      <alignment horizontal="center" vertical="center" wrapText="1"/>
    </xf>
    <xf numFmtId="165" fontId="6" fillId="11" borderId="1" xfId="0" applyNumberFormat="1" applyFont="1" applyFill="1" applyBorder="1" applyAlignment="1">
      <alignment horizontal="center" vertical="center" wrapText="1"/>
    </xf>
    <xf numFmtId="49" fontId="6" fillId="12" borderId="1" xfId="0" applyNumberFormat="1" applyFont="1" applyFill="1" applyBorder="1" applyAlignment="1">
      <alignment horizontal="left" vertical="center"/>
    </xf>
    <xf numFmtId="1" fontId="6" fillId="12" borderId="1" xfId="0" applyNumberFormat="1" applyFont="1" applyFill="1" applyBorder="1" applyAlignment="1">
      <alignment horizontal="center" vertical="center" wrapText="1"/>
    </xf>
    <xf numFmtId="165" fontId="6" fillId="12" borderId="1" xfId="0" applyNumberFormat="1" applyFont="1" applyFill="1" applyBorder="1" applyAlignment="1">
      <alignment horizontal="center" vertical="center" wrapText="1"/>
    </xf>
    <xf numFmtId="49" fontId="8" fillId="13" borderId="1" xfId="0" applyNumberFormat="1" applyFont="1" applyFill="1" applyBorder="1" applyAlignment="1">
      <alignment horizontal="left" vertical="center"/>
    </xf>
    <xf numFmtId="164" fontId="6" fillId="13" borderId="1" xfId="0" applyNumberFormat="1" applyFont="1" applyFill="1" applyBorder="1" applyAlignment="1">
      <alignment horizontal="center" vertical="center" wrapText="1"/>
    </xf>
    <xf numFmtId="165" fontId="6" fillId="13" borderId="1" xfId="0" applyNumberFormat="1" applyFont="1" applyFill="1" applyBorder="1" applyAlignment="1">
      <alignment horizontal="center" vertical="center" wrapText="1"/>
    </xf>
    <xf numFmtId="49" fontId="8" fillId="14" borderId="1" xfId="0" applyNumberFormat="1" applyFont="1" applyFill="1" applyBorder="1" applyAlignment="1">
      <alignment horizontal="left" vertical="center"/>
    </xf>
    <xf numFmtId="164" fontId="6" fillId="14" borderId="1" xfId="0" applyNumberFormat="1" applyFont="1" applyFill="1" applyBorder="1" applyAlignment="1">
      <alignment horizontal="center" vertical="center" wrapText="1"/>
    </xf>
    <xf numFmtId="165" fontId="6" fillId="14" borderId="1" xfId="0" applyNumberFormat="1" applyFont="1" applyFill="1" applyBorder="1" applyAlignment="1">
      <alignment horizontal="center" vertical="center" wrapText="1"/>
    </xf>
    <xf numFmtId="49" fontId="8" fillId="12" borderId="1" xfId="0" applyNumberFormat="1" applyFont="1" applyFill="1" applyBorder="1" applyAlignment="1">
      <alignment horizontal="left" vertical="center"/>
    </xf>
    <xf numFmtId="164" fontId="6" fillId="12" borderId="1" xfId="0" applyNumberFormat="1" applyFont="1" applyFill="1" applyBorder="1" applyAlignment="1">
      <alignment horizontal="center" vertical="center" wrapText="1"/>
    </xf>
    <xf numFmtId="0" fontId="8" fillId="7" borderId="1" xfId="0" applyFont="1" applyFill="1" applyBorder="1" applyAlignment="1">
      <alignment horizontal="left" vertical="center"/>
    </xf>
    <xf numFmtId="2" fontId="10" fillId="15" borderId="1" xfId="0" applyNumberFormat="1" applyFont="1" applyFill="1" applyBorder="1" applyAlignment="1">
      <alignment horizontal="center" vertical="center" wrapText="1"/>
    </xf>
    <xf numFmtId="0" fontId="11" fillId="0" borderId="0" xfId="0" applyFont="1" applyAlignment="1">
      <alignment horizontal="left" vertical="center"/>
    </xf>
    <xf numFmtId="165" fontId="10" fillId="15" borderId="1" xfId="0" applyNumberFormat="1" applyFont="1" applyFill="1" applyBorder="1" applyAlignment="1">
      <alignment horizontal="center" vertical="center" wrapText="1"/>
    </xf>
    <xf numFmtId="0" fontId="7" fillId="3" borderId="1" xfId="0" applyFont="1" applyFill="1" applyBorder="1" applyAlignment="1">
      <alignment horizontal="center" vertical="center" wrapText="1"/>
    </xf>
    <xf numFmtId="0" fontId="8" fillId="14" borderId="1" xfId="0" applyFont="1" applyFill="1" applyBorder="1" applyAlignment="1">
      <alignment horizontal="left" vertical="center"/>
    </xf>
    <xf numFmtId="0" fontId="12" fillId="14" borderId="1" xfId="0" applyFont="1" applyFill="1" applyBorder="1" applyAlignment="1">
      <alignment horizontal="center" vertical="center" wrapText="1"/>
    </xf>
    <xf numFmtId="164" fontId="12" fillId="14" borderId="1" xfId="0" applyNumberFormat="1" applyFont="1" applyFill="1" applyBorder="1" applyAlignment="1">
      <alignment horizontal="center" vertical="center" wrapText="1"/>
    </xf>
    <xf numFmtId="10" fontId="12" fillId="14" borderId="1" xfId="0" applyNumberFormat="1" applyFont="1" applyFill="1" applyBorder="1" applyAlignment="1">
      <alignment horizontal="center" vertical="center" wrapText="1"/>
    </xf>
    <xf numFmtId="0" fontId="8" fillId="16" borderId="1" xfId="0" applyFont="1" applyFill="1" applyBorder="1" applyAlignment="1">
      <alignment horizontal="left" vertical="center"/>
    </xf>
    <xf numFmtId="0" fontId="12" fillId="16" borderId="1" xfId="0" applyFont="1" applyFill="1" applyBorder="1" applyAlignment="1">
      <alignment horizontal="center" vertical="center" wrapText="1"/>
    </xf>
    <xf numFmtId="164" fontId="12" fillId="16" borderId="1" xfId="0" applyNumberFormat="1" applyFont="1" applyFill="1" applyBorder="1" applyAlignment="1">
      <alignment horizontal="center" vertical="center" wrapText="1"/>
    </xf>
    <xf numFmtId="10" fontId="12" fillId="16" borderId="1" xfId="0" applyNumberFormat="1" applyFont="1" applyFill="1" applyBorder="1" applyAlignment="1">
      <alignment horizontal="center" vertical="center" wrapText="1"/>
    </xf>
    <xf numFmtId="164" fontId="6" fillId="16" borderId="1" xfId="0" applyNumberFormat="1" applyFont="1" applyFill="1" applyBorder="1" applyAlignment="1">
      <alignment horizontal="center" vertical="center" wrapText="1"/>
    </xf>
    <xf numFmtId="0" fontId="8" fillId="17" borderId="1" xfId="0" applyFont="1" applyFill="1" applyBorder="1" applyAlignment="1">
      <alignment horizontal="left" vertical="center"/>
    </xf>
    <xf numFmtId="0" fontId="12" fillId="17" borderId="1" xfId="0" applyFont="1" applyFill="1" applyBorder="1" applyAlignment="1">
      <alignment horizontal="center" vertical="center" wrapText="1"/>
    </xf>
    <xf numFmtId="164" fontId="12" fillId="17" borderId="1" xfId="0" applyNumberFormat="1" applyFont="1" applyFill="1" applyBorder="1" applyAlignment="1">
      <alignment horizontal="center" vertical="center" wrapText="1"/>
    </xf>
    <xf numFmtId="10" fontId="12" fillId="17" borderId="1" xfId="0" applyNumberFormat="1" applyFont="1" applyFill="1" applyBorder="1" applyAlignment="1">
      <alignment horizontal="center" vertical="center" wrapText="1"/>
    </xf>
    <xf numFmtId="164" fontId="6" fillId="17" borderId="1" xfId="0" applyNumberFormat="1" applyFont="1" applyFill="1" applyBorder="1" applyAlignment="1">
      <alignment horizontal="center" vertical="center" wrapText="1"/>
    </xf>
    <xf numFmtId="0" fontId="8" fillId="18" borderId="1" xfId="0" applyFont="1" applyFill="1" applyBorder="1" applyAlignment="1">
      <alignment horizontal="left" vertical="center"/>
    </xf>
    <xf numFmtId="0" fontId="12" fillId="18" borderId="1" xfId="0" applyFont="1" applyFill="1" applyBorder="1" applyAlignment="1">
      <alignment horizontal="center" vertical="center" wrapText="1"/>
    </xf>
    <xf numFmtId="164" fontId="12" fillId="18" borderId="1" xfId="0" applyNumberFormat="1" applyFont="1" applyFill="1" applyBorder="1" applyAlignment="1">
      <alignment horizontal="center" vertical="center" wrapText="1"/>
    </xf>
    <xf numFmtId="10" fontId="12" fillId="18" borderId="1" xfId="0" applyNumberFormat="1" applyFont="1" applyFill="1" applyBorder="1" applyAlignment="1">
      <alignment horizontal="center" vertical="center" wrapText="1"/>
    </xf>
    <xf numFmtId="164" fontId="6" fillId="18" borderId="1" xfId="0" applyNumberFormat="1" applyFont="1" applyFill="1" applyBorder="1" applyAlignment="1">
      <alignment horizontal="center" vertical="center" wrapText="1"/>
    </xf>
    <xf numFmtId="0" fontId="8" fillId="19" borderId="1" xfId="0" applyFont="1" applyFill="1" applyBorder="1" applyAlignment="1">
      <alignment horizontal="left" vertical="center"/>
    </xf>
    <xf numFmtId="0" fontId="12" fillId="19" borderId="1" xfId="0" applyFont="1" applyFill="1" applyBorder="1" applyAlignment="1">
      <alignment horizontal="center" vertical="center" wrapText="1"/>
    </xf>
    <xf numFmtId="164" fontId="12" fillId="19" borderId="1" xfId="0" applyNumberFormat="1" applyFont="1" applyFill="1" applyBorder="1" applyAlignment="1">
      <alignment horizontal="center" vertical="center" wrapText="1"/>
    </xf>
    <xf numFmtId="10" fontId="12" fillId="19" borderId="1" xfId="0" applyNumberFormat="1" applyFont="1" applyFill="1" applyBorder="1" applyAlignment="1">
      <alignment horizontal="center" vertical="center" wrapText="1"/>
    </xf>
    <xf numFmtId="164" fontId="6" fillId="19" borderId="1" xfId="0" applyNumberFormat="1" applyFont="1" applyFill="1" applyBorder="1" applyAlignment="1">
      <alignment horizontal="center" vertical="center" wrapText="1"/>
    </xf>
    <xf numFmtId="0" fontId="5" fillId="2" borderId="1" xfId="0" applyFont="1" applyFill="1" applyBorder="1" applyAlignment="1">
      <alignment horizontal="left" vertical="center"/>
    </xf>
    <xf numFmtId="10" fontId="7" fillId="2" borderId="1" xfId="0" applyNumberFormat="1" applyFont="1" applyFill="1" applyBorder="1" applyAlignment="1">
      <alignment horizontal="center" vertical="center" wrapText="1"/>
    </xf>
    <xf numFmtId="0" fontId="8" fillId="7" borderId="1" xfId="0" applyFont="1" applyFill="1" applyBorder="1"/>
    <xf numFmtId="164" fontId="6" fillId="0" borderId="1" xfId="0" applyNumberFormat="1" applyFont="1" applyBorder="1" applyAlignment="1">
      <alignment horizontal="center" vertical="center" wrapText="1"/>
    </xf>
    <xf numFmtId="165" fontId="6" fillId="0" borderId="1" xfId="0" applyNumberFormat="1" applyFont="1" applyBorder="1" applyAlignment="1">
      <alignment horizontal="center" vertical="center" wrapText="1"/>
    </xf>
    <xf numFmtId="0" fontId="13" fillId="7" borderId="1" xfId="0" applyFont="1" applyFill="1" applyBorder="1" applyAlignment="1">
      <alignment horizontal="center" vertical="center" wrapText="1"/>
    </xf>
    <xf numFmtId="0" fontId="13" fillId="8" borderId="1" xfId="0" applyFont="1" applyFill="1" applyBorder="1" applyAlignment="1">
      <alignment horizontal="center" vertical="center" wrapText="1"/>
    </xf>
    <xf numFmtId="0" fontId="0" fillId="0" borderId="0" xfId="0" pivotButton="1"/>
    <xf numFmtId="0" fontId="0" fillId="0" borderId="0" xfId="0" applyAlignment="1">
      <alignment horizontal="left"/>
    </xf>
    <xf numFmtId="2" fontId="0" fillId="0" borderId="0" xfId="0" applyNumberFormat="1"/>
    <xf numFmtId="166" fontId="0" fillId="0" borderId="0" xfId="0" applyNumberFormat="1"/>
    <xf numFmtId="0" fontId="14" fillId="3" borderId="1" xfId="0" applyFont="1" applyFill="1" applyBorder="1" applyAlignment="1">
      <alignment horizontal="center" vertical="center" wrapText="1"/>
    </xf>
    <xf numFmtId="0" fontId="1" fillId="2" borderId="0" xfId="0" applyFont="1" applyFill="1" applyAlignment="1">
      <alignment horizontal="center" vertical="center" wrapText="1"/>
    </xf>
    <xf numFmtId="0" fontId="2" fillId="3" borderId="0" xfId="0" applyFont="1" applyFill="1" applyAlignment="1">
      <alignment horizontal="center" vertical="center" wrapText="1"/>
    </xf>
    <xf numFmtId="0" fontId="5" fillId="4" borderId="0" xfId="0" applyFont="1" applyFill="1" applyAlignment="1">
      <alignment horizontal="center" vertical="center" wrapText="1"/>
    </xf>
    <xf numFmtId="0" fontId="9" fillId="2" borderId="0" xfId="0" applyFont="1" applyFill="1" applyAlignment="1">
      <alignment horizontal="center" vertical="center" wrapText="1"/>
    </xf>
    <xf numFmtId="0" fontId="7" fillId="4" borderId="0" xfId="0" applyFont="1" applyFill="1" applyAlignment="1">
      <alignment horizontal="center"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DE7"/>
      <rgbColor rgb="FFFF00FF"/>
      <rgbColor rgb="FF00FFFF"/>
      <rgbColor rgb="FF800000"/>
      <rgbColor rgb="FF1A7A3F"/>
      <rgbColor rgb="FF000080"/>
      <rgbColor rgb="FF808000"/>
      <rgbColor rgb="FF800080"/>
      <rgbColor rgb="FF008080"/>
      <rgbColor rgb="FFFFE0CC"/>
      <rgbColor rgb="FF878787"/>
      <rgbColor rgb="FF9999FF"/>
      <rgbColor rgb="FFC0504D"/>
      <rgbColor rgb="FFFFF9C4"/>
      <rgbColor rgb="FFE8F4E8"/>
      <rgbColor rgb="FF660066"/>
      <rgbColor rgb="FFFF8080"/>
      <rgbColor rgb="FF2E6DA4"/>
      <rgbColor rgb="FFD9D9D9"/>
      <rgbColor rgb="FF000080"/>
      <rgbColor rgb="FFFF00FF"/>
      <rgbColor rgb="FFF5F5F5"/>
      <rgbColor rgb="FF00FFFF"/>
      <rgbColor rgb="FF800080"/>
      <rgbColor rgb="FF800000"/>
      <rgbColor rgb="FF008080"/>
      <rgbColor rgb="FF0000FF"/>
      <rgbColor rgb="FF00CCFF"/>
      <rgbColor rgb="FFD6E4F0"/>
      <rgbColor rgb="FFC8E6C9"/>
      <rgbColor rgb="FFFFF8E1"/>
      <rgbColor rgb="FFB3E5FC"/>
      <rgbColor rgb="FFFCE4EC"/>
      <rgbColor rgb="FFF3E5F5"/>
      <rgbColor rgb="FFFFCCCC"/>
      <rgbColor rgb="FF4F81BD"/>
      <rgbColor rgb="FF33CCCC"/>
      <rgbColor rgb="FF9BBB59"/>
      <rgbColor rgb="FFF9F9F9"/>
      <rgbColor rgb="FFC9A84C"/>
      <rgbColor rgb="FFFF6600"/>
      <rgbColor rgb="FF666666"/>
      <rgbColor rgb="FFAAAAAA"/>
      <rgbColor rgb="FF1B3A5C"/>
      <rgbColor rgb="FF339966"/>
      <rgbColor rgb="FF0D1B2A"/>
      <rgbColor rgb="FF333300"/>
      <rgbColor rgb="FF8B1A1A"/>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microsoft.com/office/2007/relationships/slicerCache" Target="slicerCaches/slicerCache4.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microsoft.com/office/2007/relationships/slicerCache" Target="slicerCaches/slicerCache3.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07/relationships/slicerCache" Target="slicerCaches/slicerCache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11.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3.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[nasa_cost_model.xlsx]Pivot tables!PivotTable3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Cost by Era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4"/>
          </a:solidFill>
          <a:ln>
            <a:noFill/>
          </a:ln>
          <a:effectLst/>
        </c:spPr>
        <c:dLbl>
          <c:idx val="0"/>
          <c:layout>
            <c:manualLayout>
              <c:x val="-0.33506956823342737"/>
              <c:y val="-0.2393875606140174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4"/>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4"/>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 tables'!$C$16:$C$17</c:f>
              <c:strCache>
                <c:ptCount val="1"/>
                <c:pt idx="0">
                  <c:v>Flyby</c:v>
                </c:pt>
              </c:strCache>
            </c:strRef>
          </c:tx>
          <c:spPr>
            <a:solidFill>
              <a:schemeClr val="accent1"/>
            </a:solidFill>
            <a:ln>
              <a:noFill/>
            </a:ln>
            <a:effectLst/>
          </c:spPr>
          <c:invertIfNegative val="0"/>
          <c:cat>
            <c:strRef>
              <c:f>'Pivot tables'!$B$18:$B$22</c:f>
              <c:strCache>
                <c:ptCount val="4"/>
                <c:pt idx="0">
                  <c:v>1990s</c:v>
                </c:pt>
                <c:pt idx="1">
                  <c:v>2000s</c:v>
                </c:pt>
                <c:pt idx="2">
                  <c:v>2010s</c:v>
                </c:pt>
                <c:pt idx="3">
                  <c:v>2020s</c:v>
                </c:pt>
              </c:strCache>
            </c:strRef>
          </c:cat>
          <c:val>
            <c:numRef>
              <c:f>'Pivot tables'!$C$18:$C$22</c:f>
              <c:numCache>
                <c:formatCode>General</c:formatCode>
                <c:ptCount val="4"/>
                <c:pt idx="0">
                  <c:v>346.6</c:v>
                </c:pt>
                <c:pt idx="1">
                  <c:v>258.10000000000002</c:v>
                </c:pt>
                <c:pt idx="3">
                  <c:v>1089.5999999999999</c:v>
                </c:pt>
              </c:numCache>
            </c:numRef>
          </c:val>
          <c:extLst>
            <c:ext xmlns:c16="http://schemas.microsoft.com/office/drawing/2014/chart" uri="{C3380CC4-5D6E-409C-BE32-E72D297353CC}">
              <c16:uniqueId val="{00000000-3D1E-4F58-A7C9-0549A09FDD04}"/>
            </c:ext>
          </c:extLst>
        </c:ser>
        <c:ser>
          <c:idx val="1"/>
          <c:order val="1"/>
          <c:tx>
            <c:strRef>
              <c:f>'Pivot tables'!$D$16:$D$17</c:f>
              <c:strCache>
                <c:ptCount val="1"/>
                <c:pt idx="0">
                  <c:v>Impact</c:v>
                </c:pt>
              </c:strCache>
            </c:strRef>
          </c:tx>
          <c:spPr>
            <a:solidFill>
              <a:schemeClr val="accent2"/>
            </a:solidFill>
            <a:ln>
              <a:noFill/>
            </a:ln>
            <a:effectLst/>
          </c:spPr>
          <c:invertIfNegative val="0"/>
          <c:cat>
            <c:strRef>
              <c:f>'Pivot tables'!$B$18:$B$22</c:f>
              <c:strCache>
                <c:ptCount val="4"/>
                <c:pt idx="0">
                  <c:v>1990s</c:v>
                </c:pt>
                <c:pt idx="1">
                  <c:v>2000s</c:v>
                </c:pt>
                <c:pt idx="2">
                  <c:v>2010s</c:v>
                </c:pt>
                <c:pt idx="3">
                  <c:v>2020s</c:v>
                </c:pt>
              </c:strCache>
            </c:strRef>
          </c:cat>
          <c:val>
            <c:numRef>
              <c:f>'Pivot tables'!$D$18:$D$22</c:f>
              <c:numCache>
                <c:formatCode>General</c:formatCode>
                <c:ptCount val="4"/>
                <c:pt idx="3">
                  <c:v>374.8</c:v>
                </c:pt>
              </c:numCache>
            </c:numRef>
          </c:val>
          <c:extLst>
            <c:ext xmlns:c16="http://schemas.microsoft.com/office/drawing/2014/chart" uri="{C3380CC4-5D6E-409C-BE32-E72D297353CC}">
              <c16:uniqueId val="{00000009-3D1E-4F58-A7C9-0549A09FDD04}"/>
            </c:ext>
          </c:extLst>
        </c:ser>
        <c:ser>
          <c:idx val="2"/>
          <c:order val="2"/>
          <c:tx>
            <c:strRef>
              <c:f>'Pivot tables'!$E$16:$E$17</c:f>
              <c:strCache>
                <c:ptCount val="1"/>
                <c:pt idx="0">
                  <c:v>Orbiter</c:v>
                </c:pt>
              </c:strCache>
            </c:strRef>
          </c:tx>
          <c:spPr>
            <a:solidFill>
              <a:schemeClr val="accent3"/>
            </a:solidFill>
            <a:ln>
              <a:noFill/>
            </a:ln>
            <a:effectLst/>
          </c:spPr>
          <c:invertIfNegative val="0"/>
          <c:cat>
            <c:strRef>
              <c:f>'Pivot tables'!$B$18:$B$22</c:f>
              <c:strCache>
                <c:ptCount val="4"/>
                <c:pt idx="0">
                  <c:v>1990s</c:v>
                </c:pt>
                <c:pt idx="1">
                  <c:v>2000s</c:v>
                </c:pt>
                <c:pt idx="2">
                  <c:v>2010s</c:v>
                </c:pt>
                <c:pt idx="3">
                  <c:v>2020s</c:v>
                </c:pt>
              </c:strCache>
            </c:strRef>
          </c:cat>
          <c:val>
            <c:numRef>
              <c:f>'Pivot tables'!$E$18:$E$22</c:f>
              <c:numCache>
                <c:formatCode>General</c:formatCode>
                <c:ptCount val="4"/>
                <c:pt idx="0">
                  <c:v>16317.800000000001</c:v>
                </c:pt>
                <c:pt idx="1">
                  <c:v>4246</c:v>
                </c:pt>
                <c:pt idx="2">
                  <c:v>1962.7</c:v>
                </c:pt>
                <c:pt idx="3">
                  <c:v>1202.7</c:v>
                </c:pt>
              </c:numCache>
            </c:numRef>
          </c:val>
          <c:extLst>
            <c:ext xmlns:c16="http://schemas.microsoft.com/office/drawing/2014/chart" uri="{C3380CC4-5D6E-409C-BE32-E72D297353CC}">
              <c16:uniqueId val="{0000000A-3D1E-4F58-A7C9-0549A09FDD04}"/>
            </c:ext>
          </c:extLst>
        </c:ser>
        <c:ser>
          <c:idx val="3"/>
          <c:order val="3"/>
          <c:tx>
            <c:strRef>
              <c:f>'Pivot tables'!$F$16:$F$17</c:f>
              <c:strCache>
                <c:ptCount val="1"/>
                <c:pt idx="0">
                  <c:v>Rover</c:v>
                </c:pt>
              </c:strCache>
            </c:strRef>
          </c:tx>
          <c:spPr>
            <a:solidFill>
              <a:schemeClr val="accent4"/>
            </a:solidFill>
            <a:ln>
              <a:noFill/>
            </a:ln>
            <a:effectLst/>
          </c:spPr>
          <c:invertIfNegative val="0"/>
          <c:dPt>
            <c:idx val="2"/>
            <c:invertIfNegative val="0"/>
            <c:bubble3D val="0"/>
            <c:extLst>
              <c:ext xmlns:c16="http://schemas.microsoft.com/office/drawing/2014/chart" uri="{C3380CC4-5D6E-409C-BE32-E72D297353CC}">
                <c16:uniqueId val="{00000000-47FB-4F2F-8B8C-E066D9660E77}"/>
              </c:ext>
            </c:extLst>
          </c:dPt>
          <c:dLbls>
            <c:dLbl>
              <c:idx val="2"/>
              <c:delete val="1"/>
              <c:extLst>
                <c:ext xmlns:c15="http://schemas.microsoft.com/office/drawing/2012/chart" uri="{CE6537A1-D6FC-4f65-9D91-7224C49458BB}"/>
                <c:ext xmlns:c16="http://schemas.microsoft.com/office/drawing/2014/chart" uri="{C3380CC4-5D6E-409C-BE32-E72D297353CC}">
                  <c16:uniqueId val="{00000000-47FB-4F2F-8B8C-E066D9660E7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tables'!$B$18:$B$22</c:f>
              <c:strCache>
                <c:ptCount val="4"/>
                <c:pt idx="0">
                  <c:v>1990s</c:v>
                </c:pt>
                <c:pt idx="1">
                  <c:v>2000s</c:v>
                </c:pt>
                <c:pt idx="2">
                  <c:v>2010s</c:v>
                </c:pt>
                <c:pt idx="3">
                  <c:v>2020s</c:v>
                </c:pt>
              </c:strCache>
            </c:strRef>
          </c:cat>
          <c:val>
            <c:numRef>
              <c:f>'Pivot tables'!$F$18:$F$22</c:f>
              <c:numCache>
                <c:formatCode>General</c:formatCode>
                <c:ptCount val="4"/>
                <c:pt idx="2">
                  <c:v>4197.7</c:v>
                </c:pt>
              </c:numCache>
            </c:numRef>
          </c:val>
          <c:extLst>
            <c:ext xmlns:c16="http://schemas.microsoft.com/office/drawing/2014/chart" uri="{C3380CC4-5D6E-409C-BE32-E72D297353CC}">
              <c16:uniqueId val="{0000000B-3D1E-4F58-A7C9-0549A09FDD04}"/>
            </c:ext>
          </c:extLst>
        </c:ser>
        <c:ser>
          <c:idx val="4"/>
          <c:order val="4"/>
          <c:tx>
            <c:strRef>
              <c:f>'Pivot tables'!$G$16:$G$17</c:f>
              <c:strCache>
                <c:ptCount val="1"/>
                <c:pt idx="0">
                  <c:v>Sample Return</c:v>
                </c:pt>
              </c:strCache>
            </c:strRef>
          </c:tx>
          <c:spPr>
            <a:solidFill>
              <a:schemeClr val="accent5"/>
            </a:solidFill>
            <a:ln>
              <a:noFill/>
            </a:ln>
            <a:effectLst/>
          </c:spPr>
          <c:invertIfNegative val="0"/>
          <c:cat>
            <c:strRef>
              <c:f>'Pivot tables'!$B$18:$B$22</c:f>
              <c:strCache>
                <c:ptCount val="4"/>
                <c:pt idx="0">
                  <c:v>1990s</c:v>
                </c:pt>
                <c:pt idx="1">
                  <c:v>2000s</c:v>
                </c:pt>
                <c:pt idx="2">
                  <c:v>2010s</c:v>
                </c:pt>
                <c:pt idx="3">
                  <c:v>2020s</c:v>
                </c:pt>
              </c:strCache>
            </c:strRef>
          </c:cat>
          <c:val>
            <c:numRef>
              <c:f>'Pivot tables'!$G$18:$G$22</c:f>
              <c:numCache>
                <c:formatCode>General</c:formatCode>
                <c:ptCount val="4"/>
                <c:pt idx="0">
                  <c:v>427.6</c:v>
                </c:pt>
                <c:pt idx="1">
                  <c:v>475.2</c:v>
                </c:pt>
                <c:pt idx="2">
                  <c:v>1350.7</c:v>
                </c:pt>
              </c:numCache>
            </c:numRef>
          </c:val>
          <c:extLst>
            <c:ext xmlns:c16="http://schemas.microsoft.com/office/drawing/2014/chart" uri="{C3380CC4-5D6E-409C-BE32-E72D297353CC}">
              <c16:uniqueId val="{0000000C-3D1E-4F58-A7C9-0549A09FDD04}"/>
            </c:ext>
          </c:extLst>
        </c:ser>
        <c:dLbls>
          <c:showLegendKey val="0"/>
          <c:showVal val="0"/>
          <c:showCatName val="0"/>
          <c:showSerName val="0"/>
          <c:showPercent val="0"/>
          <c:showBubbleSize val="0"/>
        </c:dLbls>
        <c:gapWidth val="150"/>
        <c:overlap val="100"/>
        <c:axId val="1314213455"/>
        <c:axId val="1314214895"/>
      </c:barChart>
      <c:catAx>
        <c:axId val="1314213455"/>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Era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214895"/>
        <c:crosses val="autoZero"/>
        <c:auto val="1"/>
        <c:lblAlgn val="ctr"/>
        <c:lblOffset val="100"/>
        <c:noMultiLvlLbl val="0"/>
      </c:catAx>
      <c:valAx>
        <c:axId val="1314214895"/>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Total</a:t>
                </a:r>
                <a:r>
                  <a:rPr lang="en-US" baseline="0"/>
                  <a:t> Cost</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213455"/>
        <c:crosses val="autoZero"/>
        <c:crossBetween val="between"/>
      </c:valAx>
      <c:spPr>
        <a:noFill/>
        <a:ln>
          <a:noFill/>
        </a:ln>
        <a:effectLst/>
      </c:spPr>
    </c:plotArea>
    <c:legend>
      <c:legendPos val="r"/>
      <c:layout>
        <c:manualLayout>
          <c:xMode val="edge"/>
          <c:yMode val="edge"/>
          <c:x val="0.84592473422836545"/>
          <c:y val="0.27685924801568473"/>
          <c:w val="0.15407521254545781"/>
          <c:h val="0.43157965960799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[nasa_cost_model.xlsx]Pivot tables!PivotTable5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Cost by Destination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 tables'!$C$42</c:f>
              <c:strCache>
                <c:ptCount val="1"/>
                <c:pt idx="0">
                  <c:v>Sum of Total_Dev_Cost</c:v>
                </c:pt>
              </c:strCache>
            </c:strRef>
          </c:tx>
          <c:spPr>
            <a:solidFill>
              <a:schemeClr val="accent1"/>
            </a:solidFill>
            <a:ln>
              <a:noFill/>
            </a:ln>
            <a:effectLst/>
          </c:spPr>
          <c:invertIfNegative val="0"/>
          <c:cat>
            <c:strRef>
              <c:f>'Pivot tables'!$B$43:$B$52</c:f>
              <c:strCache>
                <c:ptCount val="9"/>
                <c:pt idx="0">
                  <c:v>Asteroid</c:v>
                </c:pt>
                <c:pt idx="1">
                  <c:v>Asteroid Belt</c:v>
                </c:pt>
                <c:pt idx="2">
                  <c:v>Comet</c:v>
                </c:pt>
                <c:pt idx="3">
                  <c:v>Jupiter</c:v>
                </c:pt>
                <c:pt idx="4">
                  <c:v>L1</c:v>
                </c:pt>
                <c:pt idx="5">
                  <c:v>Lunar</c:v>
                </c:pt>
                <c:pt idx="6">
                  <c:v>Mars</c:v>
                </c:pt>
                <c:pt idx="7">
                  <c:v>Mercury</c:v>
                </c:pt>
                <c:pt idx="8">
                  <c:v>Saturn</c:v>
                </c:pt>
              </c:strCache>
            </c:strRef>
          </c:cat>
          <c:val>
            <c:numRef>
              <c:f>'Pivot tables'!$C$43:$C$52</c:f>
              <c:numCache>
                <c:formatCode>General</c:formatCode>
                <c:ptCount val="9"/>
                <c:pt idx="0">
                  <c:v>1724.9</c:v>
                </c:pt>
                <c:pt idx="1">
                  <c:v>935.9</c:v>
                </c:pt>
                <c:pt idx="2">
                  <c:v>637.20000000000005</c:v>
                </c:pt>
                <c:pt idx="3">
                  <c:v>4808.2</c:v>
                </c:pt>
                <c:pt idx="4">
                  <c:v>300.5</c:v>
                </c:pt>
                <c:pt idx="5">
                  <c:v>730.80000000000007</c:v>
                </c:pt>
                <c:pt idx="6">
                  <c:v>6683.0499999999993</c:v>
                </c:pt>
                <c:pt idx="7">
                  <c:v>363.3</c:v>
                </c:pt>
                <c:pt idx="8">
                  <c:v>3019.5</c:v>
                </c:pt>
              </c:numCache>
            </c:numRef>
          </c:val>
          <c:extLst>
            <c:ext xmlns:c16="http://schemas.microsoft.com/office/drawing/2014/chart" uri="{C3380CC4-5D6E-409C-BE32-E72D297353CC}">
              <c16:uniqueId val="{00000000-2976-4139-B949-96ECBA29A2ED}"/>
            </c:ext>
          </c:extLst>
        </c:ser>
        <c:ser>
          <c:idx val="1"/>
          <c:order val="1"/>
          <c:tx>
            <c:strRef>
              <c:f>'Pivot tables'!$D$42</c:f>
              <c:strCache>
                <c:ptCount val="1"/>
                <c:pt idx="0">
                  <c:v>Sum of Total_Launch_Cost</c:v>
                </c:pt>
              </c:strCache>
            </c:strRef>
          </c:tx>
          <c:spPr>
            <a:solidFill>
              <a:schemeClr val="accent2"/>
            </a:solidFill>
            <a:ln>
              <a:noFill/>
            </a:ln>
            <a:effectLst/>
          </c:spPr>
          <c:invertIfNegative val="0"/>
          <c:cat>
            <c:strRef>
              <c:f>'Pivot tables'!$B$43:$B$52</c:f>
              <c:strCache>
                <c:ptCount val="9"/>
                <c:pt idx="0">
                  <c:v>Asteroid</c:v>
                </c:pt>
                <c:pt idx="1">
                  <c:v>Asteroid Belt</c:v>
                </c:pt>
                <c:pt idx="2">
                  <c:v>Comet</c:v>
                </c:pt>
                <c:pt idx="3">
                  <c:v>Jupiter</c:v>
                </c:pt>
                <c:pt idx="4">
                  <c:v>L1</c:v>
                </c:pt>
                <c:pt idx="5">
                  <c:v>Lunar</c:v>
                </c:pt>
                <c:pt idx="6">
                  <c:v>Mars</c:v>
                </c:pt>
                <c:pt idx="7">
                  <c:v>Mercury</c:v>
                </c:pt>
                <c:pt idx="8">
                  <c:v>Saturn</c:v>
                </c:pt>
              </c:strCache>
            </c:strRef>
          </c:cat>
          <c:val>
            <c:numRef>
              <c:f>'Pivot tables'!$D$43:$D$52</c:f>
              <c:numCache>
                <c:formatCode>General</c:formatCode>
                <c:ptCount val="9"/>
                <c:pt idx="0">
                  <c:v>529.1</c:v>
                </c:pt>
                <c:pt idx="1">
                  <c:v>115.9</c:v>
                </c:pt>
                <c:pt idx="2">
                  <c:v>251.39999999999998</c:v>
                </c:pt>
                <c:pt idx="3">
                  <c:v>1367.5</c:v>
                </c:pt>
                <c:pt idx="4">
                  <c:v>90.4</c:v>
                </c:pt>
                <c:pt idx="5">
                  <c:v>330.5</c:v>
                </c:pt>
                <c:pt idx="6">
                  <c:v>1644.3</c:v>
                </c:pt>
                <c:pt idx="7">
                  <c:v>115.2</c:v>
                </c:pt>
                <c:pt idx="8">
                  <c:v>809.3</c:v>
                </c:pt>
              </c:numCache>
            </c:numRef>
          </c:val>
          <c:extLst>
            <c:ext xmlns:c16="http://schemas.microsoft.com/office/drawing/2014/chart" uri="{C3380CC4-5D6E-409C-BE32-E72D297353CC}">
              <c16:uniqueId val="{00000001-2976-4139-B949-96ECBA29A2ED}"/>
            </c:ext>
          </c:extLst>
        </c:ser>
        <c:ser>
          <c:idx val="2"/>
          <c:order val="2"/>
          <c:tx>
            <c:strRef>
              <c:f>'Pivot tables'!$E$42</c:f>
              <c:strCache>
                <c:ptCount val="1"/>
                <c:pt idx="0">
                  <c:v>Sum of Total_Ops_Cost</c:v>
                </c:pt>
              </c:strCache>
            </c:strRef>
          </c:tx>
          <c:spPr>
            <a:solidFill>
              <a:schemeClr val="accent3"/>
            </a:solidFill>
            <a:ln>
              <a:noFill/>
            </a:ln>
            <a:effectLst/>
          </c:spPr>
          <c:invertIfNegative val="0"/>
          <c:cat>
            <c:strRef>
              <c:f>'Pivot tables'!$B$43:$B$52</c:f>
              <c:strCache>
                <c:ptCount val="9"/>
                <c:pt idx="0">
                  <c:v>Asteroid</c:v>
                </c:pt>
                <c:pt idx="1">
                  <c:v>Asteroid Belt</c:v>
                </c:pt>
                <c:pt idx="2">
                  <c:v>Comet</c:v>
                </c:pt>
                <c:pt idx="3">
                  <c:v>Jupiter</c:v>
                </c:pt>
                <c:pt idx="4">
                  <c:v>L1</c:v>
                </c:pt>
                <c:pt idx="5">
                  <c:v>Lunar</c:v>
                </c:pt>
                <c:pt idx="6">
                  <c:v>Mars</c:v>
                </c:pt>
                <c:pt idx="7">
                  <c:v>Mercury</c:v>
                </c:pt>
                <c:pt idx="8">
                  <c:v>Saturn</c:v>
                </c:pt>
              </c:strCache>
            </c:strRef>
          </c:cat>
          <c:val>
            <c:numRef>
              <c:f>'Pivot tables'!$E$43:$E$52</c:f>
              <c:numCache>
                <c:formatCode>General</c:formatCode>
                <c:ptCount val="9"/>
                <c:pt idx="0">
                  <c:v>552.79999999999995</c:v>
                </c:pt>
                <c:pt idx="1">
                  <c:v>150.9</c:v>
                </c:pt>
                <c:pt idx="2">
                  <c:v>67.5</c:v>
                </c:pt>
                <c:pt idx="3">
                  <c:v>1541.1999999999998</c:v>
                </c:pt>
                <c:pt idx="4">
                  <c:v>84.3</c:v>
                </c:pt>
                <c:pt idx="5">
                  <c:v>48.599999999999994</c:v>
                </c:pt>
                <c:pt idx="6">
                  <c:v>822.75</c:v>
                </c:pt>
                <c:pt idx="7">
                  <c:v>145.69999999999999</c:v>
                </c:pt>
                <c:pt idx="8">
                  <c:v>1149.4000000000001</c:v>
                </c:pt>
              </c:numCache>
            </c:numRef>
          </c:val>
          <c:extLst>
            <c:ext xmlns:c16="http://schemas.microsoft.com/office/drawing/2014/chart" uri="{C3380CC4-5D6E-409C-BE32-E72D297353CC}">
              <c16:uniqueId val="{00000002-2976-4139-B949-96ECBA29A2ED}"/>
            </c:ext>
          </c:extLst>
        </c:ser>
        <c:ser>
          <c:idx val="3"/>
          <c:order val="3"/>
          <c:tx>
            <c:strRef>
              <c:f>'Pivot tables'!$F$42</c:f>
              <c:strCache>
                <c:ptCount val="1"/>
                <c:pt idx="0">
                  <c:v>Sum of Total_Extension_Cost</c:v>
                </c:pt>
              </c:strCache>
            </c:strRef>
          </c:tx>
          <c:spPr>
            <a:solidFill>
              <a:schemeClr val="accent4"/>
            </a:solidFill>
            <a:ln>
              <a:noFill/>
            </a:ln>
            <a:effectLst/>
          </c:spPr>
          <c:invertIfNegative val="0"/>
          <c:cat>
            <c:strRef>
              <c:f>'Pivot tables'!$B$43:$B$52</c:f>
              <c:strCache>
                <c:ptCount val="9"/>
                <c:pt idx="0">
                  <c:v>Asteroid</c:v>
                </c:pt>
                <c:pt idx="1">
                  <c:v>Asteroid Belt</c:v>
                </c:pt>
                <c:pt idx="2">
                  <c:v>Comet</c:v>
                </c:pt>
                <c:pt idx="3">
                  <c:v>Jupiter</c:v>
                </c:pt>
                <c:pt idx="4">
                  <c:v>L1</c:v>
                </c:pt>
                <c:pt idx="5">
                  <c:v>Lunar</c:v>
                </c:pt>
                <c:pt idx="6">
                  <c:v>Mars</c:v>
                </c:pt>
                <c:pt idx="7">
                  <c:v>Mercury</c:v>
                </c:pt>
                <c:pt idx="8">
                  <c:v>Saturn</c:v>
                </c:pt>
              </c:strCache>
            </c:strRef>
          </c:cat>
          <c:val>
            <c:numRef>
              <c:f>'Pivot tables'!$F$43:$F$52</c:f>
              <c:numCache>
                <c:formatCode>General</c:formatCode>
                <c:ptCount val="9"/>
                <c:pt idx="0">
                  <c:v>131.19999999999999</c:v>
                </c:pt>
                <c:pt idx="2">
                  <c:v>76.2</c:v>
                </c:pt>
                <c:pt idx="3">
                  <c:v>366.20000000000005</c:v>
                </c:pt>
                <c:pt idx="5">
                  <c:v>35.4</c:v>
                </c:pt>
                <c:pt idx="6">
                  <c:v>1595.6</c:v>
                </c:pt>
                <c:pt idx="7">
                  <c:v>86.1</c:v>
                </c:pt>
                <c:pt idx="8">
                  <c:v>938.6</c:v>
                </c:pt>
              </c:numCache>
            </c:numRef>
          </c:val>
          <c:extLst>
            <c:ext xmlns:c16="http://schemas.microsoft.com/office/drawing/2014/chart" uri="{C3380CC4-5D6E-409C-BE32-E72D297353CC}">
              <c16:uniqueId val="{00000003-2976-4139-B949-96ECBA29A2ED}"/>
            </c:ext>
          </c:extLst>
        </c:ser>
        <c:dLbls>
          <c:showLegendKey val="0"/>
          <c:showVal val="0"/>
          <c:showCatName val="0"/>
          <c:showSerName val="0"/>
          <c:showPercent val="0"/>
          <c:showBubbleSize val="0"/>
        </c:dLbls>
        <c:gapWidth val="150"/>
        <c:overlap val="100"/>
        <c:axId val="1457622399"/>
        <c:axId val="1457619519"/>
      </c:barChart>
      <c:catAx>
        <c:axId val="1457622399"/>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Destination</a:t>
                </a:r>
              </a:p>
            </c:rich>
          </c:tx>
          <c:layout>
            <c:manualLayout>
              <c:xMode val="edge"/>
              <c:yMode val="edge"/>
              <c:x val="4.1453240706774142E-2"/>
              <c:y val="0.27554714467018049"/>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7619519"/>
        <c:crosses val="autoZero"/>
        <c:auto val="1"/>
        <c:lblAlgn val="ctr"/>
        <c:lblOffset val="100"/>
        <c:noMultiLvlLbl val="0"/>
      </c:catAx>
      <c:valAx>
        <c:axId val="1457619519"/>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Total Cost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76223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[nasa_cost_model.xlsx]Pivot tables!PivotTable4</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Cost Variance</a:t>
            </a:r>
            <a:r>
              <a:rPr lang="en-US" baseline="0"/>
              <a:t> Pct Across Complexity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3"/>
      </c:pivotFmt>
      <c:pivotFmt>
        <c:idx val="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LblPos val="t"/>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tables'!$C$29</c:f>
              <c:strCache>
                <c:ptCount val="1"/>
                <c:pt idx="0">
                  <c:v>Sum of Is_Failure</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tables'!$B$30:$B$34</c:f>
              <c:strCache>
                <c:ptCount val="4"/>
                <c:pt idx="0">
                  <c:v>0</c:v>
                </c:pt>
                <c:pt idx="1">
                  <c:v>1</c:v>
                </c:pt>
                <c:pt idx="2">
                  <c:v>2</c:v>
                </c:pt>
                <c:pt idx="3">
                  <c:v>3</c:v>
                </c:pt>
              </c:strCache>
            </c:strRef>
          </c:cat>
          <c:val>
            <c:numRef>
              <c:f>'Pivot tables'!$C$30:$C$34</c:f>
              <c:numCache>
                <c:formatCode>General</c:formatCode>
                <c:ptCount val="4"/>
                <c:pt idx="0">
                  <c:v>1</c:v>
                </c:pt>
                <c:pt idx="1">
                  <c:v>2</c:v>
                </c:pt>
                <c:pt idx="2">
                  <c:v>0</c:v>
                </c:pt>
                <c:pt idx="3">
                  <c:v>0</c:v>
                </c:pt>
              </c:numCache>
            </c:numRef>
          </c:val>
          <c:smooth val="0"/>
          <c:extLst>
            <c:ext xmlns:c16="http://schemas.microsoft.com/office/drawing/2014/chart" uri="{C3380CC4-5D6E-409C-BE32-E72D297353CC}">
              <c16:uniqueId val="{00000000-2E54-45B2-B9B2-CCC9E0C1C217}"/>
            </c:ext>
          </c:extLst>
        </c:ser>
        <c:ser>
          <c:idx val="1"/>
          <c:order val="1"/>
          <c:tx>
            <c:strRef>
              <c:f>'Pivot tables'!$D$29</c:f>
              <c:strCache>
                <c:ptCount val="1"/>
                <c:pt idx="0">
                  <c:v>Count of Mission</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tables'!$B$30:$B$34</c:f>
              <c:strCache>
                <c:ptCount val="4"/>
                <c:pt idx="0">
                  <c:v>0</c:v>
                </c:pt>
                <c:pt idx="1">
                  <c:v>1</c:v>
                </c:pt>
                <c:pt idx="2">
                  <c:v>2</c:v>
                </c:pt>
                <c:pt idx="3">
                  <c:v>3</c:v>
                </c:pt>
              </c:strCache>
            </c:strRef>
          </c:cat>
          <c:val>
            <c:numRef>
              <c:f>'Pivot tables'!$D$30:$D$34</c:f>
              <c:numCache>
                <c:formatCode>General</c:formatCode>
                <c:ptCount val="4"/>
                <c:pt idx="0">
                  <c:v>15</c:v>
                </c:pt>
                <c:pt idx="1">
                  <c:v>8</c:v>
                </c:pt>
                <c:pt idx="2">
                  <c:v>1</c:v>
                </c:pt>
                <c:pt idx="3">
                  <c:v>1</c:v>
                </c:pt>
              </c:numCache>
            </c:numRef>
          </c:val>
          <c:smooth val="0"/>
          <c:extLst>
            <c:ext xmlns:c16="http://schemas.microsoft.com/office/drawing/2014/chart" uri="{C3380CC4-5D6E-409C-BE32-E72D297353CC}">
              <c16:uniqueId val="{00000001-2E54-45B2-B9B2-CCC9E0C1C217}"/>
            </c:ext>
          </c:extLst>
        </c:ser>
        <c:ser>
          <c:idx val="2"/>
          <c:order val="2"/>
          <c:tx>
            <c:strRef>
              <c:f>'Pivot tables'!$E$29</c:f>
              <c:strCache>
                <c:ptCount val="1"/>
                <c:pt idx="0">
                  <c:v>Average of Cost_Variance_Pct</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'Pivot tables'!$B$30:$B$34</c:f>
              <c:strCache>
                <c:ptCount val="4"/>
                <c:pt idx="0">
                  <c:v>0</c:v>
                </c:pt>
                <c:pt idx="1">
                  <c:v>1</c:v>
                </c:pt>
                <c:pt idx="2">
                  <c:v>2</c:v>
                </c:pt>
                <c:pt idx="3">
                  <c:v>3</c:v>
                </c:pt>
              </c:strCache>
            </c:strRef>
          </c:cat>
          <c:val>
            <c:numRef>
              <c:f>'Pivot tables'!$E$30:$E$34</c:f>
              <c:numCache>
                <c:formatCode>0.00</c:formatCode>
                <c:ptCount val="4"/>
                <c:pt idx="0">
                  <c:v>12.697333333333331</c:v>
                </c:pt>
                <c:pt idx="1">
                  <c:v>18.578749999999999</c:v>
                </c:pt>
                <c:pt idx="2">
                  <c:v>299.66000000000003</c:v>
                </c:pt>
                <c:pt idx="3">
                  <c:v>118.73</c:v>
                </c:pt>
              </c:numCache>
            </c:numRef>
          </c:val>
          <c:smooth val="0"/>
          <c:extLst>
            <c:ext xmlns:c16="http://schemas.microsoft.com/office/drawing/2014/chart" uri="{C3380CC4-5D6E-409C-BE32-E72D297353CC}">
              <c16:uniqueId val="{00000002-2E54-45B2-B9B2-CCC9E0C1C217}"/>
            </c:ext>
          </c:extLst>
        </c:ser>
        <c:dLbls>
          <c:showLegendKey val="0"/>
          <c:showVal val="0"/>
          <c:showCatName val="0"/>
          <c:showSerName val="0"/>
          <c:showPercent val="0"/>
          <c:showBubbleSize val="0"/>
        </c:dLbls>
        <c:marker val="1"/>
        <c:smooth val="0"/>
        <c:axId val="1972098495"/>
        <c:axId val="1972104255"/>
      </c:lineChart>
      <c:catAx>
        <c:axId val="197209849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Complexity</a:t>
                </a:r>
                <a:r>
                  <a:rPr lang="en-US" baseline="0"/>
                  <a:t> Score</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2104255"/>
        <c:crosses val="autoZero"/>
        <c:auto val="1"/>
        <c:lblAlgn val="ctr"/>
        <c:lblOffset val="100"/>
        <c:noMultiLvlLbl val="0"/>
      </c:catAx>
      <c:valAx>
        <c:axId val="1972104255"/>
        <c:scaling>
          <c:orientation val="minMax"/>
          <c:max val="2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2098495"/>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[nasa_cost_model.xlsx]Pivot tables!PivotTable7</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Outcome By Destination</a:t>
            </a:r>
          </a:p>
        </c:rich>
      </c:tx>
      <c:layout>
        <c:manualLayout>
          <c:xMode val="edge"/>
          <c:yMode val="edge"/>
          <c:x val="0.29828448035698829"/>
          <c:y val="4.4648999807981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 tables'!$C$81:$C$82</c:f>
              <c:strCache>
                <c:ptCount val="1"/>
                <c:pt idx="0">
                  <c:v>Success</c:v>
                </c:pt>
              </c:strCache>
            </c:strRef>
          </c:tx>
          <c:spPr>
            <a:solidFill>
              <a:schemeClr val="accent3"/>
            </a:solidFill>
            <a:ln>
              <a:noFill/>
            </a:ln>
            <a:effectLst/>
          </c:spPr>
          <c:invertIfNegative val="0"/>
          <c:cat>
            <c:strRef>
              <c:f>'Pivot tables'!$B$83:$B$92</c:f>
              <c:strCache>
                <c:ptCount val="9"/>
                <c:pt idx="0">
                  <c:v>Asteroid</c:v>
                </c:pt>
                <c:pt idx="1">
                  <c:v>Asteroid Belt</c:v>
                </c:pt>
                <c:pt idx="2">
                  <c:v>Comet</c:v>
                </c:pt>
                <c:pt idx="3">
                  <c:v>Jupiter</c:v>
                </c:pt>
                <c:pt idx="4">
                  <c:v>L1</c:v>
                </c:pt>
                <c:pt idx="5">
                  <c:v>Lunar</c:v>
                </c:pt>
                <c:pt idx="6">
                  <c:v>Mars</c:v>
                </c:pt>
                <c:pt idx="7">
                  <c:v>Mercury</c:v>
                </c:pt>
                <c:pt idx="8">
                  <c:v>Saturn</c:v>
                </c:pt>
              </c:strCache>
            </c:strRef>
          </c:cat>
          <c:val>
            <c:numRef>
              <c:f>'Pivot tables'!$C$83:$C$92</c:f>
              <c:numCache>
                <c:formatCode>General</c:formatCode>
                <c:ptCount val="9"/>
                <c:pt idx="0">
                  <c:v>3</c:v>
                </c:pt>
                <c:pt idx="2">
                  <c:v>2</c:v>
                </c:pt>
                <c:pt idx="3">
                  <c:v>2</c:v>
                </c:pt>
                <c:pt idx="4">
                  <c:v>1</c:v>
                </c:pt>
                <c:pt idx="5">
                  <c:v>4</c:v>
                </c:pt>
                <c:pt idx="6">
                  <c:v>2</c:v>
                </c:pt>
                <c:pt idx="7">
                  <c:v>1</c:v>
                </c:pt>
                <c:pt idx="8">
                  <c:v>1</c:v>
                </c:pt>
              </c:numCache>
            </c:numRef>
          </c:val>
          <c:extLst>
            <c:ext xmlns:c16="http://schemas.microsoft.com/office/drawing/2014/chart" uri="{C3380CC4-5D6E-409C-BE32-E72D297353CC}">
              <c16:uniqueId val="{00000000-66B9-495C-90C2-998521A55CC5}"/>
            </c:ext>
          </c:extLst>
        </c:ser>
        <c:ser>
          <c:idx val="1"/>
          <c:order val="1"/>
          <c:tx>
            <c:strRef>
              <c:f>'Pivot tables'!$D$81:$D$82</c:f>
              <c:strCache>
                <c:ptCount val="1"/>
                <c:pt idx="0">
                  <c:v>Operational</c:v>
                </c:pt>
              </c:strCache>
            </c:strRef>
          </c:tx>
          <c:spPr>
            <a:solidFill>
              <a:schemeClr val="accent1"/>
            </a:solidFill>
            <a:ln>
              <a:noFill/>
            </a:ln>
            <a:effectLst/>
          </c:spPr>
          <c:invertIfNegative val="0"/>
          <c:cat>
            <c:strRef>
              <c:f>'Pivot tables'!$B$83:$B$92</c:f>
              <c:strCache>
                <c:ptCount val="9"/>
                <c:pt idx="0">
                  <c:v>Asteroid</c:v>
                </c:pt>
                <c:pt idx="1">
                  <c:v>Asteroid Belt</c:v>
                </c:pt>
                <c:pt idx="2">
                  <c:v>Comet</c:v>
                </c:pt>
                <c:pt idx="3">
                  <c:v>Jupiter</c:v>
                </c:pt>
                <c:pt idx="4">
                  <c:v>L1</c:v>
                </c:pt>
                <c:pt idx="5">
                  <c:v>Lunar</c:v>
                </c:pt>
                <c:pt idx="6">
                  <c:v>Mars</c:v>
                </c:pt>
                <c:pt idx="7">
                  <c:v>Mercury</c:v>
                </c:pt>
                <c:pt idx="8">
                  <c:v>Saturn</c:v>
                </c:pt>
              </c:strCache>
            </c:strRef>
          </c:cat>
          <c:val>
            <c:numRef>
              <c:f>'Pivot tables'!$D$83:$D$92</c:f>
              <c:numCache>
                <c:formatCode>General</c:formatCode>
                <c:ptCount val="9"/>
                <c:pt idx="0">
                  <c:v>1</c:v>
                </c:pt>
                <c:pt idx="1">
                  <c:v>1</c:v>
                </c:pt>
                <c:pt idx="3">
                  <c:v>1</c:v>
                </c:pt>
                <c:pt idx="6">
                  <c:v>3</c:v>
                </c:pt>
              </c:numCache>
            </c:numRef>
          </c:val>
          <c:extLst>
            <c:ext xmlns:c16="http://schemas.microsoft.com/office/drawing/2014/chart" uri="{C3380CC4-5D6E-409C-BE32-E72D297353CC}">
              <c16:uniqueId val="{00000004-66B9-495C-90C2-998521A55CC5}"/>
            </c:ext>
          </c:extLst>
        </c:ser>
        <c:ser>
          <c:idx val="2"/>
          <c:order val="2"/>
          <c:tx>
            <c:strRef>
              <c:f>'Pivot tables'!$E$81:$E$82</c:f>
              <c:strCache>
                <c:ptCount val="1"/>
                <c:pt idx="0">
                  <c:v>Failure</c:v>
                </c:pt>
              </c:strCache>
            </c:strRef>
          </c:tx>
          <c:spPr>
            <a:solidFill>
              <a:schemeClr val="accent2"/>
            </a:solidFill>
            <a:ln>
              <a:noFill/>
            </a:ln>
            <a:effectLst/>
          </c:spPr>
          <c:invertIfNegative val="0"/>
          <c:cat>
            <c:strRef>
              <c:f>'Pivot tables'!$B$83:$B$92</c:f>
              <c:strCache>
                <c:ptCount val="9"/>
                <c:pt idx="0">
                  <c:v>Asteroid</c:v>
                </c:pt>
                <c:pt idx="1">
                  <c:v>Asteroid Belt</c:v>
                </c:pt>
                <c:pt idx="2">
                  <c:v>Comet</c:v>
                </c:pt>
                <c:pt idx="3">
                  <c:v>Jupiter</c:v>
                </c:pt>
                <c:pt idx="4">
                  <c:v>L1</c:v>
                </c:pt>
                <c:pt idx="5">
                  <c:v>Lunar</c:v>
                </c:pt>
                <c:pt idx="6">
                  <c:v>Mars</c:v>
                </c:pt>
                <c:pt idx="7">
                  <c:v>Mercury</c:v>
                </c:pt>
                <c:pt idx="8">
                  <c:v>Saturn</c:v>
                </c:pt>
              </c:strCache>
            </c:strRef>
          </c:cat>
          <c:val>
            <c:numRef>
              <c:f>'Pivot tables'!$E$83:$E$92</c:f>
              <c:numCache>
                <c:formatCode>General</c:formatCode>
                <c:ptCount val="9"/>
                <c:pt idx="2">
                  <c:v>1</c:v>
                </c:pt>
                <c:pt idx="6">
                  <c:v>2</c:v>
                </c:pt>
              </c:numCache>
            </c:numRef>
          </c:val>
          <c:extLst>
            <c:ext xmlns:c16="http://schemas.microsoft.com/office/drawing/2014/chart" uri="{C3380CC4-5D6E-409C-BE32-E72D297353CC}">
              <c16:uniqueId val="{0000000A-66B9-495C-90C2-998521A55CC5}"/>
            </c:ext>
          </c:extLst>
        </c:ser>
        <c:dLbls>
          <c:showLegendKey val="0"/>
          <c:showVal val="0"/>
          <c:showCatName val="0"/>
          <c:showSerName val="0"/>
          <c:showPercent val="0"/>
          <c:showBubbleSize val="0"/>
        </c:dLbls>
        <c:gapWidth val="150"/>
        <c:overlap val="100"/>
        <c:axId val="1334270911"/>
        <c:axId val="1334271871"/>
      </c:barChart>
      <c:catAx>
        <c:axId val="133427091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Destination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4271871"/>
        <c:crosses val="autoZero"/>
        <c:auto val="1"/>
        <c:lblAlgn val="ctr"/>
        <c:lblOffset val="100"/>
        <c:noMultiLvlLbl val="0"/>
      </c:catAx>
      <c:valAx>
        <c:axId val="13342718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42709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en-US" sz="1800" b="1" strike="noStrike" spc="-1">
                <a:solidFill>
                  <a:srgbClr val="000000"/>
                </a:solidFill>
                <a:latin typeface="Calibri"/>
              </a:rPr>
              <a:t>Scenario Projections by Mission Type ($M)</a:t>
            </a:r>
          </a:p>
        </c:rich>
      </c:tx>
      <c:overlay val="0"/>
      <c:spPr>
        <a:noFill/>
        <a:ln w="0">
          <a:noFill/>
        </a:ln>
      </c:spPr>
    </c:title>
    <c:autoTitleDeleted val="0"/>
    <c:plotArea>
      <c:layout/>
      <c:barChart>
        <c:barDir val="col"/>
        <c:grouping val="clustered"/>
        <c:varyColors val="0"/>
        <c:ser>
          <c:idx val="0"/>
          <c:order val="0"/>
          <c:tx>
            <c:v>Optimistic</c:v>
          </c:tx>
          <c:spPr>
            <a:solidFill>
              <a:srgbClr val="4F81BD"/>
            </a:solidFill>
            <a:ln w="9360">
              <a:solidFill>
                <a:srgbClr val="F9F9F9"/>
              </a:solidFill>
              <a:round/>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Scenario_Model!$A$11:$A$15</c:f>
              <c:strCache>
                <c:ptCount val="5"/>
                <c:pt idx="0">
                  <c:v>Orbiter</c:v>
                </c:pt>
                <c:pt idx="1">
                  <c:v>Flyby</c:v>
                </c:pt>
                <c:pt idx="2">
                  <c:v>Sample Return</c:v>
                </c:pt>
                <c:pt idx="3">
                  <c:v>Rover</c:v>
                </c:pt>
                <c:pt idx="4">
                  <c:v>Impact</c:v>
                </c:pt>
              </c:strCache>
            </c:strRef>
          </c:cat>
          <c:val>
            <c:numRef>
              <c:f>Scenario_Model!$E$11:$E$15</c:f>
              <c:numCache>
                <c:formatCode>\$#,##0.00</c:formatCode>
                <c:ptCount val="5"/>
                <c:pt idx="0">
                  <c:v>8012.1781350000001</c:v>
                </c:pt>
                <c:pt idx="1">
                  <c:v>1276.7809999999999</c:v>
                </c:pt>
                <c:pt idx="2">
                  <c:v>1157.8543399999999</c:v>
                </c:pt>
                <c:pt idx="3">
                  <c:v>1702.8150250000001</c:v>
                </c:pt>
                <c:pt idx="4">
                  <c:v>238.65525</c:v>
                </c:pt>
              </c:numCache>
            </c:numRef>
          </c:val>
          <c:extLst>
            <c:ext xmlns:c16="http://schemas.microsoft.com/office/drawing/2014/chart" uri="{C3380CC4-5D6E-409C-BE32-E72D297353CC}">
              <c16:uniqueId val="{00000000-F6F1-4DB7-B253-C7294C2DDE59}"/>
            </c:ext>
          </c:extLst>
        </c:ser>
        <c:ser>
          <c:idx val="1"/>
          <c:order val="1"/>
          <c:tx>
            <c:v>Base</c:v>
          </c:tx>
          <c:spPr>
            <a:solidFill>
              <a:srgbClr val="C0504D"/>
            </a:solidFill>
            <a:ln w="9360">
              <a:solidFill>
                <a:srgbClr val="F9F9F9"/>
              </a:solidFill>
              <a:round/>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Scenario_Model!$A$11:$A$15</c:f>
              <c:strCache>
                <c:ptCount val="5"/>
                <c:pt idx="0">
                  <c:v>Orbiter</c:v>
                </c:pt>
                <c:pt idx="1">
                  <c:v>Flyby</c:v>
                </c:pt>
                <c:pt idx="2">
                  <c:v>Sample Return</c:v>
                </c:pt>
                <c:pt idx="3">
                  <c:v>Rover</c:v>
                </c:pt>
                <c:pt idx="4">
                  <c:v>Impact</c:v>
                </c:pt>
              </c:strCache>
            </c:strRef>
          </c:cat>
          <c:val>
            <c:numRef>
              <c:f>Scenario_Model!$G$11:$G$15</c:f>
              <c:numCache>
                <c:formatCode>\$#,##0.00</c:formatCode>
                <c:ptCount val="5"/>
                <c:pt idx="0">
                  <c:v>9072.0562699999991</c:v>
                </c:pt>
                <c:pt idx="1">
                  <c:v>1421.162</c:v>
                </c:pt>
                <c:pt idx="2">
                  <c:v>1205.90868</c:v>
                </c:pt>
                <c:pt idx="3">
                  <c:v>2337.1300500000002</c:v>
                </c:pt>
                <c:pt idx="4">
                  <c:v>258.31049999999999</c:v>
                </c:pt>
              </c:numCache>
            </c:numRef>
          </c:val>
          <c:extLst>
            <c:ext xmlns:c16="http://schemas.microsoft.com/office/drawing/2014/chart" uri="{C3380CC4-5D6E-409C-BE32-E72D297353CC}">
              <c16:uniqueId val="{00000001-F6F1-4DB7-B253-C7294C2DDE59}"/>
            </c:ext>
          </c:extLst>
        </c:ser>
        <c:ser>
          <c:idx val="2"/>
          <c:order val="2"/>
          <c:tx>
            <c:v>Pessimistic</c:v>
          </c:tx>
          <c:spPr>
            <a:solidFill>
              <a:srgbClr val="9BBB59"/>
            </a:solidFill>
            <a:ln w="9360">
              <a:solidFill>
                <a:srgbClr val="F9F9F9"/>
              </a:solidFill>
              <a:round/>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Scenario_Model!$A$11:$A$15</c:f>
              <c:strCache>
                <c:ptCount val="5"/>
                <c:pt idx="0">
                  <c:v>Orbiter</c:v>
                </c:pt>
                <c:pt idx="1">
                  <c:v>Flyby</c:v>
                </c:pt>
                <c:pt idx="2">
                  <c:v>Sample Return</c:v>
                </c:pt>
                <c:pt idx="3">
                  <c:v>Rover</c:v>
                </c:pt>
                <c:pt idx="4">
                  <c:v>Impact</c:v>
                </c:pt>
              </c:strCache>
            </c:strRef>
          </c:cat>
          <c:val>
            <c:numRef>
              <c:f>Scenario_Model!$I$11:$I$15</c:f>
              <c:numCache>
                <c:formatCode>\$#,##0.00</c:formatCode>
                <c:ptCount val="5"/>
                <c:pt idx="0">
                  <c:v>10131.934405</c:v>
                </c:pt>
                <c:pt idx="1">
                  <c:v>1565.5430000000001</c:v>
                </c:pt>
                <c:pt idx="2">
                  <c:v>1253.9630199999999</c:v>
                </c:pt>
                <c:pt idx="3">
                  <c:v>2971.4450749999996</c:v>
                </c:pt>
                <c:pt idx="4">
                  <c:v>277.96575000000001</c:v>
                </c:pt>
              </c:numCache>
            </c:numRef>
          </c:val>
          <c:extLst>
            <c:ext xmlns:c16="http://schemas.microsoft.com/office/drawing/2014/chart" uri="{C3380CC4-5D6E-409C-BE32-E72D297353CC}">
              <c16:uniqueId val="{00000002-F6F1-4DB7-B253-C7294C2DDE59}"/>
            </c:ext>
          </c:extLst>
        </c:ser>
        <c:dLbls>
          <c:showLegendKey val="0"/>
          <c:showVal val="0"/>
          <c:showCatName val="0"/>
          <c:showSerName val="0"/>
          <c:showPercent val="0"/>
          <c:showBubbleSize val="0"/>
        </c:dLbls>
        <c:gapWidth val="150"/>
        <c:axId val="43177946"/>
        <c:axId val="7500920"/>
      </c:barChart>
      <c:catAx>
        <c:axId val="43177946"/>
        <c:scaling>
          <c:orientation val="minMax"/>
        </c:scaling>
        <c:delete val="0"/>
        <c:axPos val="b"/>
        <c:title>
          <c:tx>
            <c:rich>
              <a:bodyPr rot="0"/>
              <a:lstStyle/>
              <a:p>
                <a:pPr>
                  <a:defRPr sz="1000" b="1" strike="noStrike" spc="-1">
                    <a:solidFill>
                      <a:srgbClr val="000000"/>
                    </a:solidFill>
                    <a:latin typeface="Calibri"/>
                  </a:defRPr>
                </a:pPr>
                <a:r>
                  <a:rPr lang="en-US" sz="1000" b="1" strike="noStrike" spc="-1">
                    <a:solidFill>
                      <a:srgbClr val="000000"/>
                    </a:solidFill>
                    <a:latin typeface="Calibri"/>
                  </a:rPr>
                  <a:t>Mission Type</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7500920"/>
        <c:crosses val="autoZero"/>
        <c:auto val="1"/>
        <c:lblAlgn val="ctr"/>
        <c:lblOffset val="100"/>
        <c:noMultiLvlLbl val="0"/>
      </c:catAx>
      <c:valAx>
        <c:axId val="7500920"/>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US" sz="1000" b="1" strike="noStrike" spc="-1">
                    <a:solidFill>
                      <a:srgbClr val="000000"/>
                    </a:solidFill>
                    <a:latin typeface="Calibri"/>
                  </a:rPr>
                  <a:t>Cost ($M)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3177946"/>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Schedule</a:t>
            </a:r>
            <a:r>
              <a:rPr lang="en-US" baseline="0"/>
              <a:t> Cost Correlation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cost_risk_view!$P$2:$P$26</c:f>
              <c:strCache>
                <c:ptCount val="25"/>
                <c:pt idx="0">
                  <c:v>1</c:v>
                </c:pt>
                <c:pt idx="1">
                  <c:v>18</c:v>
                </c:pt>
                <c:pt idx="2">
                  <c:v>1</c:v>
                </c:pt>
                <c:pt idx="3">
                  <c:v>6</c:v>
                </c:pt>
                <c:pt idx="4">
                  <c:v>16</c:v>
                </c:pt>
                <c:pt idx="5">
                  <c:v>0</c:v>
                </c:pt>
                <c:pt idx="6">
                  <c:v>74</c:v>
                </c:pt>
                <c:pt idx="7">
                  <c:v>9</c:v>
                </c:pt>
                <c:pt idx="8">
                  <c:v>2</c:v>
                </c:pt>
                <c:pt idx="9">
                  <c:v>2</c:v>
                </c:pt>
                <c:pt idx="10">
                  <c:v>26</c:v>
                </c:pt>
                <c:pt idx="11">
                  <c:v>12</c:v>
                </c:pt>
                <c:pt idx="12">
                  <c:v>0</c:v>
                </c:pt>
                <c:pt idx="13">
                  <c:v>4</c:v>
                </c:pt>
                <c:pt idx="14">
                  <c:v>0</c:v>
                </c:pt>
                <c:pt idx="15">
                  <c:v>-1</c:v>
                </c:pt>
                <c:pt idx="16">
                  <c:v>0</c:v>
                </c:pt>
                <c:pt idx="17">
                  <c:v>1</c:v>
                </c:pt>
                <c:pt idx="18">
                  <c:v>0</c:v>
                </c:pt>
                <c:pt idx="19">
                  <c:v>6</c:v>
                </c:pt>
                <c:pt idx="20">
                  <c:v>25</c:v>
                </c:pt>
                <c:pt idx="21">
                  <c:v>-1</c:v>
                </c:pt>
                <c:pt idx="22">
                  <c:v>0</c:v>
                </c:pt>
                <c:pt idx="23">
                  <c:v>13</c:v>
                </c:pt>
                <c:pt idx="24">
                  <c:v>0</c:v>
                </c:pt>
              </c:strCache>
            </c:strRef>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cost_risk_view!$P$2:$P$26</c:f>
              <c:numCache>
                <c:formatCode>General</c:formatCode>
                <c:ptCount val="25"/>
                <c:pt idx="0">
                  <c:v>1</c:v>
                </c:pt>
                <c:pt idx="1">
                  <c:v>18</c:v>
                </c:pt>
                <c:pt idx="2">
                  <c:v>1</c:v>
                </c:pt>
                <c:pt idx="3">
                  <c:v>6</c:v>
                </c:pt>
                <c:pt idx="4">
                  <c:v>16</c:v>
                </c:pt>
                <c:pt idx="5">
                  <c:v>0</c:v>
                </c:pt>
                <c:pt idx="6">
                  <c:v>74</c:v>
                </c:pt>
                <c:pt idx="7">
                  <c:v>9</c:v>
                </c:pt>
                <c:pt idx="8">
                  <c:v>2</c:v>
                </c:pt>
                <c:pt idx="9">
                  <c:v>2</c:v>
                </c:pt>
                <c:pt idx="10">
                  <c:v>26</c:v>
                </c:pt>
                <c:pt idx="11">
                  <c:v>12</c:v>
                </c:pt>
                <c:pt idx="12">
                  <c:v>0</c:v>
                </c:pt>
                <c:pt idx="13">
                  <c:v>4</c:v>
                </c:pt>
                <c:pt idx="14">
                  <c:v>0</c:v>
                </c:pt>
                <c:pt idx="15">
                  <c:v>-1</c:v>
                </c:pt>
                <c:pt idx="16">
                  <c:v>0</c:v>
                </c:pt>
                <c:pt idx="17">
                  <c:v>1</c:v>
                </c:pt>
                <c:pt idx="18">
                  <c:v>0</c:v>
                </c:pt>
                <c:pt idx="19">
                  <c:v>6</c:v>
                </c:pt>
                <c:pt idx="20">
                  <c:v>25</c:v>
                </c:pt>
                <c:pt idx="21">
                  <c:v>-1</c:v>
                </c:pt>
                <c:pt idx="22">
                  <c:v>0</c:v>
                </c:pt>
                <c:pt idx="23">
                  <c:v>13</c:v>
                </c:pt>
                <c:pt idx="24">
                  <c:v>0</c:v>
                </c:pt>
              </c:numCache>
            </c:numRef>
          </c:xVal>
          <c:yVal>
            <c:numRef>
              <c:f>cost_risk_view!$N$2:$N$26</c:f>
              <c:numCache>
                <c:formatCode>General</c:formatCode>
                <c:ptCount val="25"/>
                <c:pt idx="0">
                  <c:v>37.01</c:v>
                </c:pt>
                <c:pt idx="1">
                  <c:v>-4.21</c:v>
                </c:pt>
                <c:pt idx="2">
                  <c:v>40.090000000000003</c:v>
                </c:pt>
                <c:pt idx="3">
                  <c:v>17.95</c:v>
                </c:pt>
                <c:pt idx="4">
                  <c:v>41.57</c:v>
                </c:pt>
                <c:pt idx="5">
                  <c:v>35.47</c:v>
                </c:pt>
                <c:pt idx="6">
                  <c:v>299.66000000000003</c:v>
                </c:pt>
                <c:pt idx="7">
                  <c:v>29.18</c:v>
                </c:pt>
                <c:pt idx="8">
                  <c:v>5.08</c:v>
                </c:pt>
                <c:pt idx="9">
                  <c:v>5.08</c:v>
                </c:pt>
                <c:pt idx="10">
                  <c:v>59.16</c:v>
                </c:pt>
                <c:pt idx="11">
                  <c:v>6.2</c:v>
                </c:pt>
                <c:pt idx="12">
                  <c:v>0.93</c:v>
                </c:pt>
                <c:pt idx="13">
                  <c:v>0.65</c:v>
                </c:pt>
                <c:pt idx="14">
                  <c:v>-0.19</c:v>
                </c:pt>
                <c:pt idx="15">
                  <c:v>-6.78</c:v>
                </c:pt>
                <c:pt idx="16">
                  <c:v>11.47</c:v>
                </c:pt>
                <c:pt idx="17">
                  <c:v>34.57</c:v>
                </c:pt>
                <c:pt idx="18">
                  <c:v>-2.84</c:v>
                </c:pt>
                <c:pt idx="19">
                  <c:v>19.559999999999999</c:v>
                </c:pt>
                <c:pt idx="20">
                  <c:v>118.73</c:v>
                </c:pt>
                <c:pt idx="21">
                  <c:v>-7.46</c:v>
                </c:pt>
                <c:pt idx="22">
                  <c:v>-10.49</c:v>
                </c:pt>
                <c:pt idx="23">
                  <c:v>19.79</c:v>
                </c:pt>
                <c:pt idx="24">
                  <c:v>7.3</c:v>
                </c:pt>
              </c:numCache>
            </c:numRef>
          </c:yVal>
          <c:smooth val="0"/>
          <c:extLst>
            <c:ext xmlns:c16="http://schemas.microsoft.com/office/drawing/2014/chart" uri="{C3380CC4-5D6E-409C-BE32-E72D297353CC}">
              <c16:uniqueId val="{00000001-276D-4F37-819B-0472D97941CB}"/>
            </c:ext>
          </c:extLst>
        </c:ser>
        <c:dLbls>
          <c:showLegendKey val="0"/>
          <c:showVal val="0"/>
          <c:showCatName val="0"/>
          <c:showSerName val="0"/>
          <c:showPercent val="0"/>
          <c:showBubbleSize val="0"/>
        </c:dLbls>
        <c:axId val="1462444559"/>
        <c:axId val="1462448399"/>
      </c:scatterChart>
      <c:valAx>
        <c:axId val="1462444559"/>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Schedule</a:t>
                </a:r>
                <a:r>
                  <a:rPr lang="en-US" baseline="0"/>
                  <a:t> Variance in Months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2448399"/>
        <c:crosses val="autoZero"/>
        <c:crossBetween val="midCat"/>
      </c:valAx>
      <c:valAx>
        <c:axId val="146244839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Cost Overrun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244455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[nasa_cost_model.xlsx]Pivot tables!PivotTable2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Actual Cost vs Budget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r>
                  <a:rPr lang="en-US"/>
                  <a:t>n=1</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2"/>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r>
                  <a:rPr lang="en-US"/>
                  <a:t>n=1</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r>
                  <a:rPr lang="en-US"/>
                  <a:t>n=1</a:t>
                </a:r>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tables'!$C$3</c:f>
              <c:strCache>
                <c:ptCount val="1"/>
                <c:pt idx="0">
                  <c:v>Sum of Planned_Budget</c:v>
                </c:pt>
              </c:strCache>
            </c:strRef>
          </c:tx>
          <c:spPr>
            <a:solidFill>
              <a:schemeClr val="accent1"/>
            </a:solidFill>
            <a:ln>
              <a:noFill/>
            </a:ln>
            <a:effectLst/>
          </c:spPr>
          <c:invertIfNegative val="0"/>
          <c:cat>
            <c:strRef>
              <c:f>'Pivot tables'!$B$4:$B$9</c:f>
              <c:strCache>
                <c:ptCount val="5"/>
                <c:pt idx="0">
                  <c:v>Flyby</c:v>
                </c:pt>
                <c:pt idx="1">
                  <c:v>Impact</c:v>
                </c:pt>
                <c:pt idx="2">
                  <c:v>Orbiter</c:v>
                </c:pt>
                <c:pt idx="3">
                  <c:v>Rover</c:v>
                </c:pt>
                <c:pt idx="4">
                  <c:v>Sample Return</c:v>
                </c:pt>
              </c:strCache>
            </c:strRef>
          </c:cat>
          <c:val>
            <c:numRef>
              <c:f>'Pivot tables'!$C$4:$C$9</c:f>
              <c:numCache>
                <c:formatCode>General</c:formatCode>
                <c:ptCount val="5"/>
                <c:pt idx="0">
                  <c:v>1132.4000000000001</c:v>
                </c:pt>
                <c:pt idx="1">
                  <c:v>219</c:v>
                </c:pt>
                <c:pt idx="2">
                  <c:v>6952.3</c:v>
                </c:pt>
                <c:pt idx="3">
                  <c:v>1068.5</c:v>
                </c:pt>
                <c:pt idx="4">
                  <c:v>1109.8</c:v>
                </c:pt>
              </c:numCache>
            </c:numRef>
          </c:val>
          <c:extLst>
            <c:ext xmlns:c16="http://schemas.microsoft.com/office/drawing/2014/chart" uri="{C3380CC4-5D6E-409C-BE32-E72D297353CC}">
              <c16:uniqueId val="{00000000-835B-49A3-8BAB-11DF9FD1B84F}"/>
            </c:ext>
          </c:extLst>
        </c:ser>
        <c:ser>
          <c:idx val="1"/>
          <c:order val="1"/>
          <c:tx>
            <c:strRef>
              <c:f>'Pivot tables'!$D$3</c:f>
              <c:strCache>
                <c:ptCount val="1"/>
                <c:pt idx="0">
                  <c:v>Sum of Actual_Cost</c:v>
                </c:pt>
              </c:strCache>
            </c:strRef>
          </c:tx>
          <c:spPr>
            <a:solidFill>
              <a:schemeClr val="accent2"/>
            </a:solidFill>
            <a:ln>
              <a:noFill/>
            </a:ln>
            <a:effectLst/>
          </c:spPr>
          <c:invertIfNegative val="0"/>
          <c:dPt>
            <c:idx val="3"/>
            <c:invertIfNegative val="0"/>
            <c:bubble3D val="0"/>
            <c:extLst>
              <c:ext xmlns:c16="http://schemas.microsoft.com/office/drawing/2014/chart" uri="{C3380CC4-5D6E-409C-BE32-E72D297353CC}">
                <c16:uniqueId val="{00000001-835B-49A3-8BAB-11DF9FD1B84F}"/>
              </c:ext>
            </c:extLst>
          </c:dPt>
          <c:dLbls>
            <c:dLbl>
              <c:idx val="3"/>
              <c:tx>
                <c:rich>
                  <a:bodyPr/>
                  <a:lstStyle/>
                  <a:p>
                    <a:r>
                      <a:rPr lang="en-US"/>
                      <a:t>n=1</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1-835B-49A3-8BAB-11DF9FD1B84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tables'!$B$4:$B$9</c:f>
              <c:strCache>
                <c:ptCount val="5"/>
                <c:pt idx="0">
                  <c:v>Flyby</c:v>
                </c:pt>
                <c:pt idx="1">
                  <c:v>Impact</c:v>
                </c:pt>
                <c:pt idx="2">
                  <c:v>Orbiter</c:v>
                </c:pt>
                <c:pt idx="3">
                  <c:v>Rover</c:v>
                </c:pt>
                <c:pt idx="4">
                  <c:v>Sample Return</c:v>
                </c:pt>
              </c:strCache>
            </c:strRef>
          </c:cat>
          <c:val>
            <c:numRef>
              <c:f>'Pivot tables'!$D$4:$D$9</c:f>
              <c:numCache>
                <c:formatCode>General</c:formatCode>
                <c:ptCount val="5"/>
                <c:pt idx="0">
                  <c:v>1195.3</c:v>
                </c:pt>
                <c:pt idx="1">
                  <c:v>258.3</c:v>
                </c:pt>
                <c:pt idx="2">
                  <c:v>9126.9500000000007</c:v>
                </c:pt>
                <c:pt idx="3">
                  <c:v>2337.1</c:v>
                </c:pt>
                <c:pt idx="4">
                  <c:v>1064.4000000000001</c:v>
                </c:pt>
              </c:numCache>
            </c:numRef>
          </c:val>
          <c:extLst>
            <c:ext xmlns:c16="http://schemas.microsoft.com/office/drawing/2014/chart" uri="{C3380CC4-5D6E-409C-BE32-E72D297353CC}">
              <c16:uniqueId val="{00000002-835B-49A3-8BAB-11DF9FD1B84F}"/>
            </c:ext>
          </c:extLst>
        </c:ser>
        <c:ser>
          <c:idx val="2"/>
          <c:order val="2"/>
          <c:tx>
            <c:strRef>
              <c:f>'Pivot tables'!$E$3</c:f>
              <c:strCache>
                <c:ptCount val="1"/>
                <c:pt idx="0">
                  <c:v>Sum of Variance_Amount</c:v>
                </c:pt>
              </c:strCache>
            </c:strRef>
          </c:tx>
          <c:spPr>
            <a:solidFill>
              <a:schemeClr val="accent3"/>
            </a:solidFill>
            <a:ln>
              <a:noFill/>
            </a:ln>
            <a:effectLst/>
          </c:spPr>
          <c:invertIfNegative val="0"/>
          <c:cat>
            <c:strRef>
              <c:f>'Pivot tables'!$B$4:$B$9</c:f>
              <c:strCache>
                <c:ptCount val="5"/>
                <c:pt idx="0">
                  <c:v>Flyby</c:v>
                </c:pt>
                <c:pt idx="1">
                  <c:v>Impact</c:v>
                </c:pt>
                <c:pt idx="2">
                  <c:v>Orbiter</c:v>
                </c:pt>
                <c:pt idx="3">
                  <c:v>Rover</c:v>
                </c:pt>
                <c:pt idx="4">
                  <c:v>Sample Return</c:v>
                </c:pt>
              </c:strCache>
            </c:strRef>
          </c:cat>
          <c:val>
            <c:numRef>
              <c:f>'Pivot tables'!$E$4:$E$9</c:f>
              <c:numCache>
                <c:formatCode>General</c:formatCode>
                <c:ptCount val="5"/>
                <c:pt idx="0">
                  <c:v>62.900000000000006</c:v>
                </c:pt>
                <c:pt idx="1">
                  <c:v>39.299999999999997</c:v>
                </c:pt>
                <c:pt idx="2">
                  <c:v>2174.6500000000005</c:v>
                </c:pt>
                <c:pt idx="3">
                  <c:v>1268.5999999999999</c:v>
                </c:pt>
                <c:pt idx="4">
                  <c:v>-45.4</c:v>
                </c:pt>
              </c:numCache>
            </c:numRef>
          </c:val>
          <c:extLst>
            <c:ext xmlns:c16="http://schemas.microsoft.com/office/drawing/2014/chart" uri="{C3380CC4-5D6E-409C-BE32-E72D297353CC}">
              <c16:uniqueId val="{00000003-835B-49A3-8BAB-11DF9FD1B84F}"/>
            </c:ext>
          </c:extLst>
        </c:ser>
        <c:ser>
          <c:idx val="3"/>
          <c:order val="3"/>
          <c:tx>
            <c:strRef>
              <c:f>'Pivot tables'!$F$3</c:f>
              <c:strCache>
                <c:ptCount val="1"/>
                <c:pt idx="0">
                  <c:v>Average of Variance_Pct</c:v>
                </c:pt>
              </c:strCache>
            </c:strRef>
          </c:tx>
          <c:spPr>
            <a:solidFill>
              <a:schemeClr val="accent4"/>
            </a:solidFill>
            <a:ln>
              <a:noFill/>
            </a:ln>
            <a:effectLst/>
          </c:spPr>
          <c:invertIfNegative val="0"/>
          <c:cat>
            <c:strRef>
              <c:f>'Pivot tables'!$B$4:$B$9</c:f>
              <c:strCache>
                <c:ptCount val="5"/>
                <c:pt idx="0">
                  <c:v>Flyby</c:v>
                </c:pt>
                <c:pt idx="1">
                  <c:v>Impact</c:v>
                </c:pt>
                <c:pt idx="2">
                  <c:v>Orbiter</c:v>
                </c:pt>
                <c:pt idx="3">
                  <c:v>Rover</c:v>
                </c:pt>
                <c:pt idx="4">
                  <c:v>Sample Return</c:v>
                </c:pt>
              </c:strCache>
            </c:strRef>
          </c:cat>
          <c:val>
            <c:numRef>
              <c:f>'Pivot tables'!$F$4:$F$9</c:f>
              <c:numCache>
                <c:formatCode>0.00</c:formatCode>
                <c:ptCount val="5"/>
                <c:pt idx="0">
                  <c:v>25.49666666666667</c:v>
                </c:pt>
                <c:pt idx="1">
                  <c:v>17.95</c:v>
                </c:pt>
                <c:pt idx="2">
                  <c:v>30.489411764705885</c:v>
                </c:pt>
                <c:pt idx="3">
                  <c:v>118.73</c:v>
                </c:pt>
                <c:pt idx="4">
                  <c:v>8.6633333333333322</c:v>
                </c:pt>
              </c:numCache>
            </c:numRef>
          </c:val>
          <c:extLst>
            <c:ext xmlns:c16="http://schemas.microsoft.com/office/drawing/2014/chart" uri="{C3380CC4-5D6E-409C-BE32-E72D297353CC}">
              <c16:uniqueId val="{00000004-835B-49A3-8BAB-11DF9FD1B84F}"/>
            </c:ext>
          </c:extLst>
        </c:ser>
        <c:dLbls>
          <c:showLegendKey val="0"/>
          <c:showVal val="0"/>
          <c:showCatName val="0"/>
          <c:showSerName val="0"/>
          <c:showPercent val="0"/>
          <c:showBubbleSize val="0"/>
        </c:dLbls>
        <c:gapWidth val="182"/>
        <c:axId val="1313847599"/>
        <c:axId val="1313850479"/>
      </c:barChart>
      <c:catAx>
        <c:axId val="1313847599"/>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Mission Tyoe</a:t>
                </a:r>
              </a:p>
            </c:rich>
          </c:tx>
          <c:layout>
            <c:manualLayout>
              <c:xMode val="edge"/>
              <c:yMode val="edge"/>
              <c:x val="6.0458413660325817E-2"/>
              <c:y val="0.35343932997832556"/>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3850479"/>
        <c:crosses val="autoZero"/>
        <c:auto val="1"/>
        <c:lblAlgn val="ctr"/>
        <c:lblOffset val="100"/>
        <c:noMultiLvlLbl val="0"/>
      </c:catAx>
      <c:valAx>
        <c:axId val="131385047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COST in M$</a:t>
                </a:r>
              </a:p>
            </c:rich>
          </c:tx>
          <c:layout>
            <c:manualLayout>
              <c:xMode val="edge"/>
              <c:yMode val="edge"/>
              <c:x val="0.47850865446814472"/>
              <c:y val="0.9014385561355392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38475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[nasa_cost_model.xlsx]Pivot tables!PivotTable2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Actual Cost vs Budget </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2"/>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r>
                  <a:rPr lang="en-US"/>
                  <a:t>n=1</a:t>
                </a:r>
              </a:p>
            </c:rich>
          </c:tx>
          <c:spPr>
            <a:noFill/>
            <a:ln>
              <a:noFill/>
            </a:ln>
            <a:effectLst/>
          </c:sp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2"/>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r>
                  <a:rPr lang="en-US"/>
                  <a:t>n=1</a:t>
                </a:r>
              </a:p>
            </c:rich>
          </c:tx>
          <c:spPr>
            <a:noFill/>
            <a:ln>
              <a:noFill/>
            </a:ln>
            <a:effectLst/>
          </c:sp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2"/>
        <c:spPr>
          <a:solidFill>
            <a:schemeClr val="accent2"/>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r>
                  <a:rPr lang="en-US"/>
                  <a:t>n=1</a:t>
                </a:r>
              </a:p>
            </c:rich>
          </c:tx>
          <c:spPr>
            <a:noFill/>
            <a:ln>
              <a:noFill/>
            </a:ln>
            <a:effectLst/>
          </c:sp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7"/>
        <c:spPr>
          <a:solidFill>
            <a:schemeClr val="accent2"/>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r>
                  <a:rPr lang="en-US"/>
                  <a:t>n=1</a:t>
                </a:r>
              </a:p>
            </c:rich>
          </c:tx>
          <c:spPr>
            <a:noFill/>
            <a:ln>
              <a:noFill/>
            </a:ln>
            <a:effectLst/>
          </c:sp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1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2"/>
        <c:spPr>
          <a:solidFill>
            <a:schemeClr val="accent2"/>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r>
                  <a:rPr lang="en-US"/>
                  <a:t>n=1</a:t>
                </a:r>
              </a:p>
            </c:rich>
          </c:tx>
          <c:spPr>
            <a:noFill/>
            <a:ln>
              <a:noFill/>
            </a:ln>
            <a:effectLst/>
          </c:sp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6"/>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27"/>
        <c:dLbl>
          <c:idx val="0"/>
          <c:tx>
            <c:rich>
              <a:bodyPr wrap="square" lIns="38100" tIns="19050" rIns="38100" bIns="19050" anchor="ctr">
                <a:spAutoFit/>
              </a:bodyPr>
              <a:lstStyle/>
              <a:p>
                <a:pPr>
                  <a:defRPr/>
                </a:pPr>
                <a:r>
                  <a:rPr lang="en-US"/>
                  <a:t>n=1</a:t>
                </a:r>
              </a:p>
            </c:rich>
          </c:tx>
          <c:spPr>
            <a:noFill/>
            <a:ln>
              <a:noFill/>
            </a:ln>
            <a:effectLst/>
          </c:spPr>
          <c:showLegendKey val="0"/>
          <c:showVal val="1"/>
          <c:showCatName val="0"/>
          <c:showSerName val="0"/>
          <c:showPercent val="0"/>
          <c:showBubbleSize val="0"/>
          <c:extLst>
            <c:ext xmlns:c15="http://schemas.microsoft.com/office/drawing/2012/chart" uri="{CE6537A1-D6FC-4f65-9D91-7224C49458BB}">
              <c15:showDataLabelsRange val="0"/>
            </c:ext>
          </c:extLst>
        </c:dLbl>
      </c:pivotFmt>
      <c:pivotFmt>
        <c:idx val="28"/>
        <c:spPr>
          <a:solidFill>
            <a:schemeClr val="accent3"/>
          </a:solidFill>
          <a:ln>
            <a:noFill/>
          </a:ln>
          <a:effectLst/>
        </c:spPr>
        <c:marker>
          <c:symbol val="none"/>
        </c:marker>
        <c:dLbl>
          <c:idx val="0"/>
          <c:delete val="1"/>
          <c:extLst>
            <c:ext xmlns:c15="http://schemas.microsoft.com/office/drawing/2012/chart" uri="{CE6537A1-D6FC-4f65-9D91-7224C49458BB}"/>
          </c:extLst>
        </c:dLbl>
      </c:pivotFmt>
      <c:pivotFmt>
        <c:idx val="29"/>
        <c:spPr>
          <a:solidFill>
            <a:schemeClr val="accent4"/>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bar"/>
        <c:grouping val="clustered"/>
        <c:varyColors val="0"/>
        <c:ser>
          <c:idx val="0"/>
          <c:order val="0"/>
          <c:tx>
            <c:strRef>
              <c:f>'Pivot tables'!$C$3</c:f>
              <c:strCache>
                <c:ptCount val="1"/>
                <c:pt idx="0">
                  <c:v>Sum of Planned_Budget</c:v>
                </c:pt>
              </c:strCache>
            </c:strRef>
          </c:tx>
          <c:spPr>
            <a:solidFill>
              <a:schemeClr val="accent1"/>
            </a:solidFill>
            <a:ln>
              <a:noFill/>
            </a:ln>
            <a:effectLst/>
          </c:spPr>
          <c:invertIfNegative val="0"/>
          <c:cat>
            <c:strRef>
              <c:f>'Pivot tables'!$B$4:$B$9</c:f>
              <c:strCache>
                <c:ptCount val="5"/>
                <c:pt idx="0">
                  <c:v>Flyby</c:v>
                </c:pt>
                <c:pt idx="1">
                  <c:v>Impact</c:v>
                </c:pt>
                <c:pt idx="2">
                  <c:v>Orbiter</c:v>
                </c:pt>
                <c:pt idx="3">
                  <c:v>Rover</c:v>
                </c:pt>
                <c:pt idx="4">
                  <c:v>Sample Return</c:v>
                </c:pt>
              </c:strCache>
            </c:strRef>
          </c:cat>
          <c:val>
            <c:numRef>
              <c:f>'Pivot tables'!$C$4:$C$9</c:f>
              <c:numCache>
                <c:formatCode>General</c:formatCode>
                <c:ptCount val="5"/>
                <c:pt idx="0">
                  <c:v>1132.4000000000001</c:v>
                </c:pt>
                <c:pt idx="1">
                  <c:v>219</c:v>
                </c:pt>
                <c:pt idx="2">
                  <c:v>6952.3</c:v>
                </c:pt>
                <c:pt idx="3">
                  <c:v>1068.5</c:v>
                </c:pt>
                <c:pt idx="4">
                  <c:v>1109.8</c:v>
                </c:pt>
              </c:numCache>
            </c:numRef>
          </c:val>
          <c:extLst>
            <c:ext xmlns:c16="http://schemas.microsoft.com/office/drawing/2014/chart" uri="{C3380CC4-5D6E-409C-BE32-E72D297353CC}">
              <c16:uniqueId val="{00000007-44A3-4FA0-9650-D2F8CA7D2309}"/>
            </c:ext>
          </c:extLst>
        </c:ser>
        <c:ser>
          <c:idx val="1"/>
          <c:order val="1"/>
          <c:tx>
            <c:strRef>
              <c:f>'Pivot tables'!$D$3</c:f>
              <c:strCache>
                <c:ptCount val="1"/>
                <c:pt idx="0">
                  <c:v>Sum of Actual_Cost</c:v>
                </c:pt>
              </c:strCache>
            </c:strRef>
          </c:tx>
          <c:spPr>
            <a:solidFill>
              <a:schemeClr val="accent2"/>
            </a:solidFill>
            <a:ln>
              <a:noFill/>
            </a:ln>
            <a:effectLst/>
          </c:spPr>
          <c:invertIfNegative val="0"/>
          <c:dLbls>
            <c:dLbl>
              <c:idx val="3"/>
              <c:tx>
                <c:rich>
                  <a:bodyPr/>
                  <a:lstStyle/>
                  <a:p>
                    <a:r>
                      <a:rPr lang="en-US"/>
                      <a:t>n=1</a:t>
                    </a:r>
                  </a:p>
                </c:rich>
              </c:tx>
              <c:showLegendKey val="0"/>
              <c:showVal val="1"/>
              <c:showCatName val="0"/>
              <c:showSerName val="0"/>
              <c:showPercent val="0"/>
              <c:showBubbleSize val="0"/>
              <c:extLst>
                <c:ext xmlns:c15="http://schemas.microsoft.com/office/drawing/2012/chart" uri="{CE6537A1-D6FC-4f65-9D91-7224C49458BB}">
                  <c15:showDataLabelsRange val="0"/>
                </c:ext>
                <c:ext xmlns:c16="http://schemas.microsoft.com/office/drawing/2014/chart" uri="{C3380CC4-5D6E-409C-BE32-E72D297353CC}">
                  <c16:uniqueId val="{00000009-44A3-4FA0-9650-D2F8CA7D2309}"/>
                </c:ext>
              </c:extLst>
            </c:dLbl>
            <c:spPr>
              <a:noFill/>
              <a:ln>
                <a:noFill/>
              </a:ln>
              <a:effectLst/>
            </c:spPr>
            <c:txPr>
              <a:bodyPr wrap="square" lIns="38100" tIns="19050" rIns="38100" bIns="19050" anchor="ctr">
                <a:spAutoFit/>
              </a:bodyPr>
              <a:lstStyle/>
              <a:p>
                <a:pPr>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tables'!$B$4:$B$9</c:f>
              <c:strCache>
                <c:ptCount val="5"/>
                <c:pt idx="0">
                  <c:v>Flyby</c:v>
                </c:pt>
                <c:pt idx="1">
                  <c:v>Impact</c:v>
                </c:pt>
                <c:pt idx="2">
                  <c:v>Orbiter</c:v>
                </c:pt>
                <c:pt idx="3">
                  <c:v>Rover</c:v>
                </c:pt>
                <c:pt idx="4">
                  <c:v>Sample Return</c:v>
                </c:pt>
              </c:strCache>
            </c:strRef>
          </c:cat>
          <c:val>
            <c:numRef>
              <c:f>'Pivot tables'!$D$4:$D$9</c:f>
              <c:numCache>
                <c:formatCode>General</c:formatCode>
                <c:ptCount val="5"/>
                <c:pt idx="0">
                  <c:v>1195.3</c:v>
                </c:pt>
                <c:pt idx="1">
                  <c:v>258.3</c:v>
                </c:pt>
                <c:pt idx="2">
                  <c:v>9126.9500000000007</c:v>
                </c:pt>
                <c:pt idx="3">
                  <c:v>2337.1</c:v>
                </c:pt>
                <c:pt idx="4">
                  <c:v>1064.4000000000001</c:v>
                </c:pt>
              </c:numCache>
            </c:numRef>
          </c:val>
          <c:extLst>
            <c:ext xmlns:c16="http://schemas.microsoft.com/office/drawing/2014/chart" uri="{C3380CC4-5D6E-409C-BE32-E72D297353CC}">
              <c16:uniqueId val="{0000000A-44A3-4FA0-9650-D2F8CA7D2309}"/>
            </c:ext>
          </c:extLst>
        </c:ser>
        <c:ser>
          <c:idx val="2"/>
          <c:order val="2"/>
          <c:tx>
            <c:strRef>
              <c:f>'Pivot tables'!$E$3</c:f>
              <c:strCache>
                <c:ptCount val="1"/>
                <c:pt idx="0">
                  <c:v>Sum of Variance_Amount</c:v>
                </c:pt>
              </c:strCache>
            </c:strRef>
          </c:tx>
          <c:spPr>
            <a:solidFill>
              <a:schemeClr val="accent3"/>
            </a:solidFill>
            <a:ln>
              <a:noFill/>
            </a:ln>
            <a:effectLst/>
          </c:spPr>
          <c:invertIfNegative val="0"/>
          <c:cat>
            <c:strRef>
              <c:f>'Pivot tables'!$B$4:$B$9</c:f>
              <c:strCache>
                <c:ptCount val="5"/>
                <c:pt idx="0">
                  <c:v>Flyby</c:v>
                </c:pt>
                <c:pt idx="1">
                  <c:v>Impact</c:v>
                </c:pt>
                <c:pt idx="2">
                  <c:v>Orbiter</c:v>
                </c:pt>
                <c:pt idx="3">
                  <c:v>Rover</c:v>
                </c:pt>
                <c:pt idx="4">
                  <c:v>Sample Return</c:v>
                </c:pt>
              </c:strCache>
            </c:strRef>
          </c:cat>
          <c:val>
            <c:numRef>
              <c:f>'Pivot tables'!$E$4:$E$9</c:f>
              <c:numCache>
                <c:formatCode>General</c:formatCode>
                <c:ptCount val="5"/>
                <c:pt idx="0">
                  <c:v>62.900000000000006</c:v>
                </c:pt>
                <c:pt idx="1">
                  <c:v>39.299999999999997</c:v>
                </c:pt>
                <c:pt idx="2">
                  <c:v>2174.6500000000005</c:v>
                </c:pt>
                <c:pt idx="3">
                  <c:v>1268.5999999999999</c:v>
                </c:pt>
                <c:pt idx="4">
                  <c:v>-45.4</c:v>
                </c:pt>
              </c:numCache>
            </c:numRef>
          </c:val>
          <c:extLst>
            <c:ext xmlns:c16="http://schemas.microsoft.com/office/drawing/2014/chart" uri="{C3380CC4-5D6E-409C-BE32-E72D297353CC}">
              <c16:uniqueId val="{0000000C-44A3-4FA0-9650-D2F8CA7D2309}"/>
            </c:ext>
          </c:extLst>
        </c:ser>
        <c:ser>
          <c:idx val="3"/>
          <c:order val="3"/>
          <c:tx>
            <c:strRef>
              <c:f>'Pivot tables'!$F$3</c:f>
              <c:strCache>
                <c:ptCount val="1"/>
                <c:pt idx="0">
                  <c:v>Average of Variance_Pct</c:v>
                </c:pt>
              </c:strCache>
            </c:strRef>
          </c:tx>
          <c:spPr>
            <a:solidFill>
              <a:schemeClr val="accent4"/>
            </a:solidFill>
            <a:ln>
              <a:noFill/>
            </a:ln>
            <a:effectLst/>
          </c:spPr>
          <c:invertIfNegative val="0"/>
          <c:cat>
            <c:strRef>
              <c:f>'Pivot tables'!$B$4:$B$9</c:f>
              <c:strCache>
                <c:ptCount val="5"/>
                <c:pt idx="0">
                  <c:v>Flyby</c:v>
                </c:pt>
                <c:pt idx="1">
                  <c:v>Impact</c:v>
                </c:pt>
                <c:pt idx="2">
                  <c:v>Orbiter</c:v>
                </c:pt>
                <c:pt idx="3">
                  <c:v>Rover</c:v>
                </c:pt>
                <c:pt idx="4">
                  <c:v>Sample Return</c:v>
                </c:pt>
              </c:strCache>
            </c:strRef>
          </c:cat>
          <c:val>
            <c:numRef>
              <c:f>'Pivot tables'!$F$4:$F$9</c:f>
              <c:numCache>
                <c:formatCode>0.00</c:formatCode>
                <c:ptCount val="5"/>
                <c:pt idx="0">
                  <c:v>25.49666666666667</c:v>
                </c:pt>
                <c:pt idx="1">
                  <c:v>17.95</c:v>
                </c:pt>
                <c:pt idx="2">
                  <c:v>30.489411764705885</c:v>
                </c:pt>
                <c:pt idx="3">
                  <c:v>118.73</c:v>
                </c:pt>
                <c:pt idx="4">
                  <c:v>8.6633333333333322</c:v>
                </c:pt>
              </c:numCache>
            </c:numRef>
          </c:val>
          <c:extLst>
            <c:ext xmlns:c16="http://schemas.microsoft.com/office/drawing/2014/chart" uri="{C3380CC4-5D6E-409C-BE32-E72D297353CC}">
              <c16:uniqueId val="{0000000E-44A3-4FA0-9650-D2F8CA7D2309}"/>
            </c:ext>
          </c:extLst>
        </c:ser>
        <c:dLbls>
          <c:showLegendKey val="0"/>
          <c:showVal val="0"/>
          <c:showCatName val="0"/>
          <c:showSerName val="0"/>
          <c:showPercent val="0"/>
          <c:showBubbleSize val="0"/>
        </c:dLbls>
        <c:gapWidth val="182"/>
        <c:axId val="1313847599"/>
        <c:axId val="1313850479"/>
      </c:barChart>
      <c:catAx>
        <c:axId val="1313847599"/>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Mission Tyoe</a:t>
                </a:r>
              </a:p>
            </c:rich>
          </c:tx>
          <c:layout>
            <c:manualLayout>
              <c:xMode val="edge"/>
              <c:yMode val="edge"/>
              <c:x val="6.0458413660325817E-2"/>
              <c:y val="0.35343932997832556"/>
            </c:manualLayout>
          </c:layout>
          <c:overlay val="0"/>
          <c:spPr>
            <a:noFill/>
            <a:ln>
              <a:noFill/>
            </a:ln>
            <a:effectLst/>
          </c:sp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3850479"/>
        <c:crosses val="autoZero"/>
        <c:auto val="1"/>
        <c:lblAlgn val="ctr"/>
        <c:lblOffset val="100"/>
        <c:noMultiLvlLbl val="0"/>
      </c:catAx>
      <c:valAx>
        <c:axId val="131385047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COST in M$</a:t>
                </a:r>
              </a:p>
            </c:rich>
          </c:tx>
          <c:layout>
            <c:manualLayout>
              <c:xMode val="edge"/>
              <c:yMode val="edge"/>
              <c:x val="0.47850865446814472"/>
              <c:y val="0.90143855613553925"/>
            </c:manualLayout>
          </c:layout>
          <c:overlay val="0"/>
          <c:spPr>
            <a:noFill/>
            <a:ln>
              <a:noFill/>
            </a:ln>
            <a:effectLst/>
          </c:sp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3847599"/>
        <c:crosses val="autoZero"/>
        <c:crossBetween val="between"/>
      </c:valAx>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[nasa_cost_model.xlsx]Pivot tables!PivotTable3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Cost by Era</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4"/>
          </a:solidFill>
          <a:ln>
            <a:noFill/>
          </a:ln>
          <a:effectLst/>
        </c:spP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4"/>
          </a:solidFill>
          <a:ln>
            <a:noFill/>
          </a:ln>
          <a:effectLst/>
        </c:spPr>
        <c:dLbl>
          <c:idx val="0"/>
          <c:delete val="1"/>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solidFill>
          <a:ln>
            <a:noFill/>
          </a:ln>
          <a:effectLst/>
        </c:spPr>
        <c:dLbl>
          <c:idx val="0"/>
          <c:delete val="1"/>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4"/>
          </a:solidFill>
          <a:ln>
            <a:noFill/>
          </a:ln>
          <a:effectLst/>
        </c:spPr>
        <c:dLbl>
          <c:idx val="0"/>
          <c:delete val="1"/>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4"/>
          </a:solidFill>
          <a:ln>
            <a:noFill/>
          </a:ln>
          <a:effectLst/>
        </c:spPr>
        <c:dLbl>
          <c:idx val="0"/>
          <c:delete val="1"/>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4"/>
          </a:solidFill>
          <a:ln>
            <a:noFill/>
          </a:ln>
          <a:effectLst/>
        </c:spPr>
        <c:dLbl>
          <c:idx val="0"/>
          <c:delete val="1"/>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0"/>
        <c:spPr>
          <a:solidFill>
            <a:schemeClr val="accent4"/>
          </a:solidFill>
          <a:ln>
            <a:noFill/>
          </a:ln>
          <a:effectLst/>
        </c:spPr>
        <c:dLbl>
          <c:idx val="0"/>
          <c:delete val="1"/>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3"/>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44"/>
        <c:spPr>
          <a:solidFill>
            <a:schemeClr val="accent3"/>
          </a:solidFill>
          <a:ln>
            <a:noFill/>
          </a:ln>
          <a:effectLst/>
        </c:spPr>
        <c:marker>
          <c:symbol val="none"/>
        </c:marker>
        <c:dLbl>
          <c:idx val="0"/>
          <c:delete val="1"/>
          <c:extLst>
            <c:ext xmlns:c15="http://schemas.microsoft.com/office/drawing/2012/chart" uri="{CE6537A1-D6FC-4f65-9D91-7224C49458BB}"/>
          </c:extLst>
        </c:dLbl>
      </c:pivotFmt>
      <c:pivotFmt>
        <c:idx val="45"/>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6"/>
        <c:dLbl>
          <c:idx val="0"/>
          <c:delete val="1"/>
          <c:extLst>
            <c:ext xmlns:c15="http://schemas.microsoft.com/office/drawing/2012/chart" uri="{CE6537A1-D6FC-4f65-9D91-7224C49458BB}"/>
          </c:extLst>
        </c:dLbl>
      </c:pivotFmt>
      <c:pivotFmt>
        <c:idx val="47"/>
        <c:spPr>
          <a:solidFill>
            <a:schemeClr val="accent5"/>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bar"/>
        <c:grouping val="stacked"/>
        <c:varyColors val="0"/>
        <c:ser>
          <c:idx val="0"/>
          <c:order val="0"/>
          <c:tx>
            <c:strRef>
              <c:f>'Pivot tables'!$C$16:$C$17</c:f>
              <c:strCache>
                <c:ptCount val="1"/>
                <c:pt idx="0">
                  <c:v>Flyby</c:v>
                </c:pt>
              </c:strCache>
            </c:strRef>
          </c:tx>
          <c:spPr>
            <a:solidFill>
              <a:schemeClr val="accent1"/>
            </a:solidFill>
            <a:ln>
              <a:noFill/>
            </a:ln>
            <a:effectLst/>
          </c:spPr>
          <c:invertIfNegative val="0"/>
          <c:cat>
            <c:strRef>
              <c:f>'Pivot tables'!$B$18:$B$22</c:f>
              <c:strCache>
                <c:ptCount val="4"/>
                <c:pt idx="0">
                  <c:v>1990s</c:v>
                </c:pt>
                <c:pt idx="1">
                  <c:v>2000s</c:v>
                </c:pt>
                <c:pt idx="2">
                  <c:v>2010s</c:v>
                </c:pt>
                <c:pt idx="3">
                  <c:v>2020s</c:v>
                </c:pt>
              </c:strCache>
            </c:strRef>
          </c:cat>
          <c:val>
            <c:numRef>
              <c:f>'Pivot tables'!$C$18:$C$22</c:f>
              <c:numCache>
                <c:formatCode>General</c:formatCode>
                <c:ptCount val="4"/>
                <c:pt idx="0">
                  <c:v>346.6</c:v>
                </c:pt>
                <c:pt idx="1">
                  <c:v>258.10000000000002</c:v>
                </c:pt>
                <c:pt idx="3">
                  <c:v>1089.5999999999999</c:v>
                </c:pt>
              </c:numCache>
            </c:numRef>
          </c:val>
          <c:extLst>
            <c:ext xmlns:c16="http://schemas.microsoft.com/office/drawing/2014/chart" uri="{C3380CC4-5D6E-409C-BE32-E72D297353CC}">
              <c16:uniqueId val="{0000000E-559C-4EDA-98B7-C71C76BD0F99}"/>
            </c:ext>
          </c:extLst>
        </c:ser>
        <c:ser>
          <c:idx val="1"/>
          <c:order val="1"/>
          <c:tx>
            <c:strRef>
              <c:f>'Pivot tables'!$D$16:$D$17</c:f>
              <c:strCache>
                <c:ptCount val="1"/>
                <c:pt idx="0">
                  <c:v>Impact</c:v>
                </c:pt>
              </c:strCache>
            </c:strRef>
          </c:tx>
          <c:spPr>
            <a:solidFill>
              <a:schemeClr val="accent2"/>
            </a:solidFill>
            <a:ln>
              <a:noFill/>
            </a:ln>
            <a:effectLst/>
          </c:spPr>
          <c:invertIfNegative val="0"/>
          <c:cat>
            <c:strRef>
              <c:f>'Pivot tables'!$B$18:$B$22</c:f>
              <c:strCache>
                <c:ptCount val="4"/>
                <c:pt idx="0">
                  <c:v>1990s</c:v>
                </c:pt>
                <c:pt idx="1">
                  <c:v>2000s</c:v>
                </c:pt>
                <c:pt idx="2">
                  <c:v>2010s</c:v>
                </c:pt>
                <c:pt idx="3">
                  <c:v>2020s</c:v>
                </c:pt>
              </c:strCache>
            </c:strRef>
          </c:cat>
          <c:val>
            <c:numRef>
              <c:f>'Pivot tables'!$D$18:$D$22</c:f>
              <c:numCache>
                <c:formatCode>General</c:formatCode>
                <c:ptCount val="4"/>
                <c:pt idx="3">
                  <c:v>374.8</c:v>
                </c:pt>
              </c:numCache>
            </c:numRef>
          </c:val>
          <c:extLst>
            <c:ext xmlns:c16="http://schemas.microsoft.com/office/drawing/2014/chart" uri="{C3380CC4-5D6E-409C-BE32-E72D297353CC}">
              <c16:uniqueId val="{00000010-559C-4EDA-98B7-C71C76BD0F99}"/>
            </c:ext>
          </c:extLst>
        </c:ser>
        <c:ser>
          <c:idx val="2"/>
          <c:order val="2"/>
          <c:tx>
            <c:strRef>
              <c:f>'Pivot tables'!$E$16:$E$17</c:f>
              <c:strCache>
                <c:ptCount val="1"/>
                <c:pt idx="0">
                  <c:v>Orbiter</c:v>
                </c:pt>
              </c:strCache>
            </c:strRef>
          </c:tx>
          <c:spPr>
            <a:solidFill>
              <a:schemeClr val="accent3"/>
            </a:solidFill>
            <a:ln>
              <a:noFill/>
            </a:ln>
            <a:effectLst/>
          </c:spPr>
          <c:invertIfNegative val="0"/>
          <c:cat>
            <c:strRef>
              <c:f>'Pivot tables'!$B$18:$B$22</c:f>
              <c:strCache>
                <c:ptCount val="4"/>
                <c:pt idx="0">
                  <c:v>1990s</c:v>
                </c:pt>
                <c:pt idx="1">
                  <c:v>2000s</c:v>
                </c:pt>
                <c:pt idx="2">
                  <c:v>2010s</c:v>
                </c:pt>
                <c:pt idx="3">
                  <c:v>2020s</c:v>
                </c:pt>
              </c:strCache>
            </c:strRef>
          </c:cat>
          <c:val>
            <c:numRef>
              <c:f>'Pivot tables'!$E$18:$E$22</c:f>
              <c:numCache>
                <c:formatCode>General</c:formatCode>
                <c:ptCount val="4"/>
                <c:pt idx="0">
                  <c:v>16317.800000000001</c:v>
                </c:pt>
                <c:pt idx="1">
                  <c:v>4246</c:v>
                </c:pt>
                <c:pt idx="2">
                  <c:v>1962.7</c:v>
                </c:pt>
                <c:pt idx="3">
                  <c:v>1202.7</c:v>
                </c:pt>
              </c:numCache>
            </c:numRef>
          </c:val>
          <c:extLst>
            <c:ext xmlns:c16="http://schemas.microsoft.com/office/drawing/2014/chart" uri="{C3380CC4-5D6E-409C-BE32-E72D297353CC}">
              <c16:uniqueId val="{00000012-559C-4EDA-98B7-C71C76BD0F99}"/>
            </c:ext>
          </c:extLst>
        </c:ser>
        <c:ser>
          <c:idx val="3"/>
          <c:order val="3"/>
          <c:tx>
            <c:strRef>
              <c:f>'Pivot tables'!$F$16:$F$17</c:f>
              <c:strCache>
                <c:ptCount val="1"/>
                <c:pt idx="0">
                  <c:v>Rover</c:v>
                </c:pt>
              </c:strCache>
            </c:strRef>
          </c:tx>
          <c:spPr>
            <a:solidFill>
              <a:schemeClr val="accent4"/>
            </a:solidFill>
            <a:ln>
              <a:noFill/>
            </a:ln>
            <a:effectLst/>
          </c:spPr>
          <c:invertIfNegative val="0"/>
          <c:dLbls>
            <c:dLbl>
              <c:idx val="2"/>
              <c:delete val="1"/>
              <c:extLst>
                <c:ext xmlns:c15="http://schemas.microsoft.com/office/drawing/2012/chart" uri="{CE6537A1-D6FC-4f65-9D91-7224C49458BB}"/>
                <c:ext xmlns:c16="http://schemas.microsoft.com/office/drawing/2014/chart" uri="{C3380CC4-5D6E-409C-BE32-E72D297353CC}">
                  <c16:uniqueId val="{00000014-559C-4EDA-98B7-C71C76BD0F9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tables'!$B$18:$B$22</c:f>
              <c:strCache>
                <c:ptCount val="4"/>
                <c:pt idx="0">
                  <c:v>1990s</c:v>
                </c:pt>
                <c:pt idx="1">
                  <c:v>2000s</c:v>
                </c:pt>
                <c:pt idx="2">
                  <c:v>2010s</c:v>
                </c:pt>
                <c:pt idx="3">
                  <c:v>2020s</c:v>
                </c:pt>
              </c:strCache>
            </c:strRef>
          </c:cat>
          <c:val>
            <c:numRef>
              <c:f>'Pivot tables'!$F$18:$F$22</c:f>
              <c:numCache>
                <c:formatCode>General</c:formatCode>
                <c:ptCount val="4"/>
                <c:pt idx="2">
                  <c:v>4197.7</c:v>
                </c:pt>
              </c:numCache>
            </c:numRef>
          </c:val>
          <c:extLst>
            <c:ext xmlns:c16="http://schemas.microsoft.com/office/drawing/2014/chart" uri="{C3380CC4-5D6E-409C-BE32-E72D297353CC}">
              <c16:uniqueId val="{00000015-559C-4EDA-98B7-C71C76BD0F99}"/>
            </c:ext>
          </c:extLst>
        </c:ser>
        <c:ser>
          <c:idx val="4"/>
          <c:order val="4"/>
          <c:tx>
            <c:strRef>
              <c:f>'Pivot tables'!$G$16:$G$17</c:f>
              <c:strCache>
                <c:ptCount val="1"/>
                <c:pt idx="0">
                  <c:v>Sample Return</c:v>
                </c:pt>
              </c:strCache>
            </c:strRef>
          </c:tx>
          <c:spPr>
            <a:solidFill>
              <a:schemeClr val="accent5"/>
            </a:solidFill>
            <a:ln>
              <a:noFill/>
            </a:ln>
            <a:effectLst/>
          </c:spPr>
          <c:invertIfNegative val="0"/>
          <c:cat>
            <c:strRef>
              <c:f>'Pivot tables'!$B$18:$B$22</c:f>
              <c:strCache>
                <c:ptCount val="4"/>
                <c:pt idx="0">
                  <c:v>1990s</c:v>
                </c:pt>
                <c:pt idx="1">
                  <c:v>2000s</c:v>
                </c:pt>
                <c:pt idx="2">
                  <c:v>2010s</c:v>
                </c:pt>
                <c:pt idx="3">
                  <c:v>2020s</c:v>
                </c:pt>
              </c:strCache>
            </c:strRef>
          </c:cat>
          <c:val>
            <c:numRef>
              <c:f>'Pivot tables'!$G$18:$G$22</c:f>
              <c:numCache>
                <c:formatCode>General</c:formatCode>
                <c:ptCount val="4"/>
                <c:pt idx="0">
                  <c:v>427.6</c:v>
                </c:pt>
                <c:pt idx="1">
                  <c:v>475.2</c:v>
                </c:pt>
                <c:pt idx="2">
                  <c:v>1350.7</c:v>
                </c:pt>
              </c:numCache>
            </c:numRef>
          </c:val>
          <c:extLst>
            <c:ext xmlns:c16="http://schemas.microsoft.com/office/drawing/2014/chart" uri="{C3380CC4-5D6E-409C-BE32-E72D297353CC}">
              <c16:uniqueId val="{00000017-559C-4EDA-98B7-C71C76BD0F99}"/>
            </c:ext>
          </c:extLst>
        </c:ser>
        <c:dLbls>
          <c:showLegendKey val="0"/>
          <c:showVal val="0"/>
          <c:showCatName val="0"/>
          <c:showSerName val="0"/>
          <c:showPercent val="0"/>
          <c:showBubbleSize val="0"/>
        </c:dLbls>
        <c:gapWidth val="150"/>
        <c:overlap val="100"/>
        <c:axId val="1314213455"/>
        <c:axId val="1314214895"/>
      </c:barChart>
      <c:catAx>
        <c:axId val="1314213455"/>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Era</a:t>
                </a:r>
              </a:p>
            </c:rich>
          </c:tx>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214895"/>
        <c:crosses val="autoZero"/>
        <c:auto val="1"/>
        <c:lblAlgn val="ctr"/>
        <c:lblOffset val="100"/>
        <c:noMultiLvlLbl val="0"/>
      </c:catAx>
      <c:valAx>
        <c:axId val="1314214895"/>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Total</a:t>
                </a:r>
                <a:r>
                  <a:rPr lang="en-US" baseline="0"/>
                  <a:t> Cost</a:t>
                </a:r>
                <a:endParaRPr lang="en-US"/>
              </a:p>
            </c:rich>
          </c:tx>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4213455"/>
        <c:crosses val="autoZero"/>
        <c:crossBetween val="between"/>
      </c:valAx>
    </c:plotArea>
    <c:legend>
      <c:legendPos val="r"/>
      <c:layout>
        <c:manualLayout>
          <c:xMode val="edge"/>
          <c:yMode val="edge"/>
          <c:x val="0.84592473422836545"/>
          <c:y val="0.27685924801568473"/>
          <c:w val="0.15407521254545781"/>
          <c:h val="0.43157965960799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[nasa_cost_model.xlsx]Pivot tables!PivotTable5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Cost by Destination</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1"/>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22"/>
        <c:spPr>
          <a:solidFill>
            <a:schemeClr val="accent3"/>
          </a:solidFill>
          <a:ln>
            <a:noFill/>
          </a:ln>
          <a:effectLst/>
        </c:spPr>
        <c:marker>
          <c:symbol val="none"/>
        </c:marker>
        <c:dLbl>
          <c:idx val="0"/>
          <c:delete val="1"/>
          <c:extLst>
            <c:ext xmlns:c15="http://schemas.microsoft.com/office/drawing/2012/chart" uri="{CE6537A1-D6FC-4f65-9D91-7224C49458BB}"/>
          </c:extLst>
        </c:dLbl>
      </c:pivotFmt>
      <c:pivotFmt>
        <c:idx val="23"/>
        <c:spPr>
          <a:solidFill>
            <a:schemeClr val="accent4"/>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bar"/>
        <c:grouping val="stacked"/>
        <c:varyColors val="0"/>
        <c:ser>
          <c:idx val="0"/>
          <c:order val="0"/>
          <c:tx>
            <c:strRef>
              <c:f>'Pivot tables'!$C$42</c:f>
              <c:strCache>
                <c:ptCount val="1"/>
                <c:pt idx="0">
                  <c:v>Sum of Total_Dev_Cost</c:v>
                </c:pt>
              </c:strCache>
            </c:strRef>
          </c:tx>
          <c:spPr>
            <a:solidFill>
              <a:schemeClr val="accent1"/>
            </a:solidFill>
            <a:ln>
              <a:noFill/>
            </a:ln>
            <a:effectLst/>
          </c:spPr>
          <c:invertIfNegative val="0"/>
          <c:cat>
            <c:strRef>
              <c:f>'Pivot tables'!$B$43:$B$52</c:f>
              <c:strCache>
                <c:ptCount val="9"/>
                <c:pt idx="0">
                  <c:v>Asteroid</c:v>
                </c:pt>
                <c:pt idx="1">
                  <c:v>Asteroid Belt</c:v>
                </c:pt>
                <c:pt idx="2">
                  <c:v>Comet</c:v>
                </c:pt>
                <c:pt idx="3">
                  <c:v>Jupiter</c:v>
                </c:pt>
                <c:pt idx="4">
                  <c:v>L1</c:v>
                </c:pt>
                <c:pt idx="5">
                  <c:v>Lunar</c:v>
                </c:pt>
                <c:pt idx="6">
                  <c:v>Mars</c:v>
                </c:pt>
                <c:pt idx="7">
                  <c:v>Mercury</c:v>
                </c:pt>
                <c:pt idx="8">
                  <c:v>Saturn</c:v>
                </c:pt>
              </c:strCache>
            </c:strRef>
          </c:cat>
          <c:val>
            <c:numRef>
              <c:f>'Pivot tables'!$C$43:$C$52</c:f>
              <c:numCache>
                <c:formatCode>General</c:formatCode>
                <c:ptCount val="9"/>
                <c:pt idx="0">
                  <c:v>1724.9</c:v>
                </c:pt>
                <c:pt idx="1">
                  <c:v>935.9</c:v>
                </c:pt>
                <c:pt idx="2">
                  <c:v>637.20000000000005</c:v>
                </c:pt>
                <c:pt idx="3">
                  <c:v>4808.2</c:v>
                </c:pt>
                <c:pt idx="4">
                  <c:v>300.5</c:v>
                </c:pt>
                <c:pt idx="5">
                  <c:v>730.80000000000007</c:v>
                </c:pt>
                <c:pt idx="6">
                  <c:v>6683.0499999999993</c:v>
                </c:pt>
                <c:pt idx="7">
                  <c:v>363.3</c:v>
                </c:pt>
                <c:pt idx="8">
                  <c:v>3019.5</c:v>
                </c:pt>
              </c:numCache>
            </c:numRef>
          </c:val>
          <c:extLst>
            <c:ext xmlns:c16="http://schemas.microsoft.com/office/drawing/2014/chart" uri="{C3380CC4-5D6E-409C-BE32-E72D297353CC}">
              <c16:uniqueId val="{00000006-692B-4DA4-82FD-E44A1525B8B0}"/>
            </c:ext>
          </c:extLst>
        </c:ser>
        <c:ser>
          <c:idx val="1"/>
          <c:order val="1"/>
          <c:tx>
            <c:strRef>
              <c:f>'Pivot tables'!$D$42</c:f>
              <c:strCache>
                <c:ptCount val="1"/>
                <c:pt idx="0">
                  <c:v>Sum of Total_Launch_Cost</c:v>
                </c:pt>
              </c:strCache>
            </c:strRef>
          </c:tx>
          <c:spPr>
            <a:solidFill>
              <a:schemeClr val="accent2"/>
            </a:solidFill>
            <a:ln>
              <a:noFill/>
            </a:ln>
            <a:effectLst/>
          </c:spPr>
          <c:invertIfNegative val="0"/>
          <c:cat>
            <c:strRef>
              <c:f>'Pivot tables'!$B$43:$B$52</c:f>
              <c:strCache>
                <c:ptCount val="9"/>
                <c:pt idx="0">
                  <c:v>Asteroid</c:v>
                </c:pt>
                <c:pt idx="1">
                  <c:v>Asteroid Belt</c:v>
                </c:pt>
                <c:pt idx="2">
                  <c:v>Comet</c:v>
                </c:pt>
                <c:pt idx="3">
                  <c:v>Jupiter</c:v>
                </c:pt>
                <c:pt idx="4">
                  <c:v>L1</c:v>
                </c:pt>
                <c:pt idx="5">
                  <c:v>Lunar</c:v>
                </c:pt>
                <c:pt idx="6">
                  <c:v>Mars</c:v>
                </c:pt>
                <c:pt idx="7">
                  <c:v>Mercury</c:v>
                </c:pt>
                <c:pt idx="8">
                  <c:v>Saturn</c:v>
                </c:pt>
              </c:strCache>
            </c:strRef>
          </c:cat>
          <c:val>
            <c:numRef>
              <c:f>'Pivot tables'!$D$43:$D$52</c:f>
              <c:numCache>
                <c:formatCode>General</c:formatCode>
                <c:ptCount val="9"/>
                <c:pt idx="0">
                  <c:v>529.1</c:v>
                </c:pt>
                <c:pt idx="1">
                  <c:v>115.9</c:v>
                </c:pt>
                <c:pt idx="2">
                  <c:v>251.39999999999998</c:v>
                </c:pt>
                <c:pt idx="3">
                  <c:v>1367.5</c:v>
                </c:pt>
                <c:pt idx="4">
                  <c:v>90.4</c:v>
                </c:pt>
                <c:pt idx="5">
                  <c:v>330.5</c:v>
                </c:pt>
                <c:pt idx="6">
                  <c:v>1644.3</c:v>
                </c:pt>
                <c:pt idx="7">
                  <c:v>115.2</c:v>
                </c:pt>
                <c:pt idx="8">
                  <c:v>809.3</c:v>
                </c:pt>
              </c:numCache>
            </c:numRef>
          </c:val>
          <c:extLst>
            <c:ext xmlns:c16="http://schemas.microsoft.com/office/drawing/2014/chart" uri="{C3380CC4-5D6E-409C-BE32-E72D297353CC}">
              <c16:uniqueId val="{00000008-692B-4DA4-82FD-E44A1525B8B0}"/>
            </c:ext>
          </c:extLst>
        </c:ser>
        <c:ser>
          <c:idx val="2"/>
          <c:order val="2"/>
          <c:tx>
            <c:strRef>
              <c:f>'Pivot tables'!$E$42</c:f>
              <c:strCache>
                <c:ptCount val="1"/>
                <c:pt idx="0">
                  <c:v>Sum of Total_Ops_Cost</c:v>
                </c:pt>
              </c:strCache>
            </c:strRef>
          </c:tx>
          <c:spPr>
            <a:solidFill>
              <a:schemeClr val="accent3"/>
            </a:solidFill>
            <a:ln>
              <a:noFill/>
            </a:ln>
            <a:effectLst/>
          </c:spPr>
          <c:invertIfNegative val="0"/>
          <c:cat>
            <c:strRef>
              <c:f>'Pivot tables'!$B$43:$B$52</c:f>
              <c:strCache>
                <c:ptCount val="9"/>
                <c:pt idx="0">
                  <c:v>Asteroid</c:v>
                </c:pt>
                <c:pt idx="1">
                  <c:v>Asteroid Belt</c:v>
                </c:pt>
                <c:pt idx="2">
                  <c:v>Comet</c:v>
                </c:pt>
                <c:pt idx="3">
                  <c:v>Jupiter</c:v>
                </c:pt>
                <c:pt idx="4">
                  <c:v>L1</c:v>
                </c:pt>
                <c:pt idx="5">
                  <c:v>Lunar</c:v>
                </c:pt>
                <c:pt idx="6">
                  <c:v>Mars</c:v>
                </c:pt>
                <c:pt idx="7">
                  <c:v>Mercury</c:v>
                </c:pt>
                <c:pt idx="8">
                  <c:v>Saturn</c:v>
                </c:pt>
              </c:strCache>
            </c:strRef>
          </c:cat>
          <c:val>
            <c:numRef>
              <c:f>'Pivot tables'!$E$43:$E$52</c:f>
              <c:numCache>
                <c:formatCode>General</c:formatCode>
                <c:ptCount val="9"/>
                <c:pt idx="0">
                  <c:v>552.79999999999995</c:v>
                </c:pt>
                <c:pt idx="1">
                  <c:v>150.9</c:v>
                </c:pt>
                <c:pt idx="2">
                  <c:v>67.5</c:v>
                </c:pt>
                <c:pt idx="3">
                  <c:v>1541.1999999999998</c:v>
                </c:pt>
                <c:pt idx="4">
                  <c:v>84.3</c:v>
                </c:pt>
                <c:pt idx="5">
                  <c:v>48.599999999999994</c:v>
                </c:pt>
                <c:pt idx="6">
                  <c:v>822.75</c:v>
                </c:pt>
                <c:pt idx="7">
                  <c:v>145.69999999999999</c:v>
                </c:pt>
                <c:pt idx="8">
                  <c:v>1149.4000000000001</c:v>
                </c:pt>
              </c:numCache>
            </c:numRef>
          </c:val>
          <c:extLst>
            <c:ext xmlns:c16="http://schemas.microsoft.com/office/drawing/2014/chart" uri="{C3380CC4-5D6E-409C-BE32-E72D297353CC}">
              <c16:uniqueId val="{0000000A-692B-4DA4-82FD-E44A1525B8B0}"/>
            </c:ext>
          </c:extLst>
        </c:ser>
        <c:ser>
          <c:idx val="3"/>
          <c:order val="3"/>
          <c:tx>
            <c:strRef>
              <c:f>'Pivot tables'!$F$42</c:f>
              <c:strCache>
                <c:ptCount val="1"/>
                <c:pt idx="0">
                  <c:v>Sum of Total_Extension_Cost</c:v>
                </c:pt>
              </c:strCache>
            </c:strRef>
          </c:tx>
          <c:spPr>
            <a:solidFill>
              <a:schemeClr val="accent4"/>
            </a:solidFill>
            <a:ln>
              <a:noFill/>
            </a:ln>
            <a:effectLst/>
          </c:spPr>
          <c:invertIfNegative val="0"/>
          <c:cat>
            <c:strRef>
              <c:f>'Pivot tables'!$B$43:$B$52</c:f>
              <c:strCache>
                <c:ptCount val="9"/>
                <c:pt idx="0">
                  <c:v>Asteroid</c:v>
                </c:pt>
                <c:pt idx="1">
                  <c:v>Asteroid Belt</c:v>
                </c:pt>
                <c:pt idx="2">
                  <c:v>Comet</c:v>
                </c:pt>
                <c:pt idx="3">
                  <c:v>Jupiter</c:v>
                </c:pt>
                <c:pt idx="4">
                  <c:v>L1</c:v>
                </c:pt>
                <c:pt idx="5">
                  <c:v>Lunar</c:v>
                </c:pt>
                <c:pt idx="6">
                  <c:v>Mars</c:v>
                </c:pt>
                <c:pt idx="7">
                  <c:v>Mercury</c:v>
                </c:pt>
                <c:pt idx="8">
                  <c:v>Saturn</c:v>
                </c:pt>
              </c:strCache>
            </c:strRef>
          </c:cat>
          <c:val>
            <c:numRef>
              <c:f>'Pivot tables'!$F$43:$F$52</c:f>
              <c:numCache>
                <c:formatCode>General</c:formatCode>
                <c:ptCount val="9"/>
                <c:pt idx="0">
                  <c:v>131.19999999999999</c:v>
                </c:pt>
                <c:pt idx="2">
                  <c:v>76.2</c:v>
                </c:pt>
                <c:pt idx="3">
                  <c:v>366.20000000000005</c:v>
                </c:pt>
                <c:pt idx="5">
                  <c:v>35.4</c:v>
                </c:pt>
                <c:pt idx="6">
                  <c:v>1595.6</c:v>
                </c:pt>
                <c:pt idx="7">
                  <c:v>86.1</c:v>
                </c:pt>
                <c:pt idx="8">
                  <c:v>938.6</c:v>
                </c:pt>
              </c:numCache>
            </c:numRef>
          </c:val>
          <c:extLst>
            <c:ext xmlns:c16="http://schemas.microsoft.com/office/drawing/2014/chart" uri="{C3380CC4-5D6E-409C-BE32-E72D297353CC}">
              <c16:uniqueId val="{0000000C-692B-4DA4-82FD-E44A1525B8B0}"/>
            </c:ext>
          </c:extLst>
        </c:ser>
        <c:dLbls>
          <c:showLegendKey val="0"/>
          <c:showVal val="0"/>
          <c:showCatName val="0"/>
          <c:showSerName val="0"/>
          <c:showPercent val="0"/>
          <c:showBubbleSize val="0"/>
        </c:dLbls>
        <c:gapWidth val="150"/>
        <c:overlap val="100"/>
        <c:axId val="1457622399"/>
        <c:axId val="1457619519"/>
      </c:barChart>
      <c:catAx>
        <c:axId val="1457622399"/>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Destination</a:t>
                </a:r>
              </a:p>
            </c:rich>
          </c:tx>
          <c:layout>
            <c:manualLayout>
              <c:xMode val="edge"/>
              <c:yMode val="edge"/>
              <c:x val="4.1453240706774142E-2"/>
              <c:y val="0.27554714467018049"/>
            </c:manualLayout>
          </c:layout>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7619519"/>
        <c:crosses val="autoZero"/>
        <c:auto val="1"/>
        <c:lblAlgn val="ctr"/>
        <c:lblOffset val="100"/>
        <c:noMultiLvlLbl val="0"/>
      </c:catAx>
      <c:valAx>
        <c:axId val="1457619519"/>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Total Cost</a:t>
                </a:r>
              </a:p>
            </c:rich>
          </c:tx>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7622399"/>
        <c:crosses val="autoZero"/>
        <c:crossBetween val="between"/>
      </c:valAx>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Schedule</a:t>
            </a:r>
            <a:r>
              <a:rPr lang="en-US" baseline="0"/>
              <a:t> Cost Correlation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cost_risk_view!$P$2:$P$26</c:f>
              <c:strCache>
                <c:ptCount val="25"/>
                <c:pt idx="0">
                  <c:v>1</c:v>
                </c:pt>
                <c:pt idx="1">
                  <c:v>18</c:v>
                </c:pt>
                <c:pt idx="2">
                  <c:v>1</c:v>
                </c:pt>
                <c:pt idx="3">
                  <c:v>6</c:v>
                </c:pt>
                <c:pt idx="4">
                  <c:v>16</c:v>
                </c:pt>
                <c:pt idx="5">
                  <c:v>0</c:v>
                </c:pt>
                <c:pt idx="6">
                  <c:v>74</c:v>
                </c:pt>
                <c:pt idx="7">
                  <c:v>9</c:v>
                </c:pt>
                <c:pt idx="8">
                  <c:v>2</c:v>
                </c:pt>
                <c:pt idx="9">
                  <c:v>2</c:v>
                </c:pt>
                <c:pt idx="10">
                  <c:v>26</c:v>
                </c:pt>
                <c:pt idx="11">
                  <c:v>12</c:v>
                </c:pt>
                <c:pt idx="12">
                  <c:v>0</c:v>
                </c:pt>
                <c:pt idx="13">
                  <c:v>4</c:v>
                </c:pt>
                <c:pt idx="14">
                  <c:v>0</c:v>
                </c:pt>
                <c:pt idx="15">
                  <c:v>-1</c:v>
                </c:pt>
                <c:pt idx="16">
                  <c:v>0</c:v>
                </c:pt>
                <c:pt idx="17">
                  <c:v>1</c:v>
                </c:pt>
                <c:pt idx="18">
                  <c:v>0</c:v>
                </c:pt>
                <c:pt idx="19">
                  <c:v>6</c:v>
                </c:pt>
                <c:pt idx="20">
                  <c:v>25</c:v>
                </c:pt>
                <c:pt idx="21">
                  <c:v>-1</c:v>
                </c:pt>
                <c:pt idx="22">
                  <c:v>0</c:v>
                </c:pt>
                <c:pt idx="23">
                  <c:v>13</c:v>
                </c:pt>
                <c:pt idx="24">
                  <c:v>0</c:v>
                </c:pt>
              </c:strCache>
            </c:strRef>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cost_risk_view!$P$2:$P$26</c:f>
              <c:numCache>
                <c:formatCode>General</c:formatCode>
                <c:ptCount val="25"/>
                <c:pt idx="0">
                  <c:v>1</c:v>
                </c:pt>
                <c:pt idx="1">
                  <c:v>18</c:v>
                </c:pt>
                <c:pt idx="2">
                  <c:v>1</c:v>
                </c:pt>
                <c:pt idx="3">
                  <c:v>6</c:v>
                </c:pt>
                <c:pt idx="4">
                  <c:v>16</c:v>
                </c:pt>
                <c:pt idx="5">
                  <c:v>0</c:v>
                </c:pt>
                <c:pt idx="6">
                  <c:v>74</c:v>
                </c:pt>
                <c:pt idx="7">
                  <c:v>9</c:v>
                </c:pt>
                <c:pt idx="8">
                  <c:v>2</c:v>
                </c:pt>
                <c:pt idx="9">
                  <c:v>2</c:v>
                </c:pt>
                <c:pt idx="10">
                  <c:v>26</c:v>
                </c:pt>
                <c:pt idx="11">
                  <c:v>12</c:v>
                </c:pt>
                <c:pt idx="12">
                  <c:v>0</c:v>
                </c:pt>
                <c:pt idx="13">
                  <c:v>4</c:v>
                </c:pt>
                <c:pt idx="14">
                  <c:v>0</c:v>
                </c:pt>
                <c:pt idx="15">
                  <c:v>-1</c:v>
                </c:pt>
                <c:pt idx="16">
                  <c:v>0</c:v>
                </c:pt>
                <c:pt idx="17">
                  <c:v>1</c:v>
                </c:pt>
                <c:pt idx="18">
                  <c:v>0</c:v>
                </c:pt>
                <c:pt idx="19">
                  <c:v>6</c:v>
                </c:pt>
                <c:pt idx="20">
                  <c:v>25</c:v>
                </c:pt>
                <c:pt idx="21">
                  <c:v>-1</c:v>
                </c:pt>
                <c:pt idx="22">
                  <c:v>0</c:v>
                </c:pt>
                <c:pt idx="23">
                  <c:v>13</c:v>
                </c:pt>
                <c:pt idx="24">
                  <c:v>0</c:v>
                </c:pt>
              </c:numCache>
            </c:numRef>
          </c:xVal>
          <c:yVal>
            <c:numRef>
              <c:f>cost_risk_view!$N$2:$N$26</c:f>
              <c:numCache>
                <c:formatCode>General</c:formatCode>
                <c:ptCount val="25"/>
                <c:pt idx="0">
                  <c:v>37.01</c:v>
                </c:pt>
                <c:pt idx="1">
                  <c:v>-4.21</c:v>
                </c:pt>
                <c:pt idx="2">
                  <c:v>40.090000000000003</c:v>
                </c:pt>
                <c:pt idx="3">
                  <c:v>17.95</c:v>
                </c:pt>
                <c:pt idx="4">
                  <c:v>41.57</c:v>
                </c:pt>
                <c:pt idx="5">
                  <c:v>35.47</c:v>
                </c:pt>
                <c:pt idx="6">
                  <c:v>299.66000000000003</c:v>
                </c:pt>
                <c:pt idx="7">
                  <c:v>29.18</c:v>
                </c:pt>
                <c:pt idx="8">
                  <c:v>5.08</c:v>
                </c:pt>
                <c:pt idx="9">
                  <c:v>5.08</c:v>
                </c:pt>
                <c:pt idx="10">
                  <c:v>59.16</c:v>
                </c:pt>
                <c:pt idx="11">
                  <c:v>6.2</c:v>
                </c:pt>
                <c:pt idx="12">
                  <c:v>0.93</c:v>
                </c:pt>
                <c:pt idx="13">
                  <c:v>0.65</c:v>
                </c:pt>
                <c:pt idx="14">
                  <c:v>-0.19</c:v>
                </c:pt>
                <c:pt idx="15">
                  <c:v>-6.78</c:v>
                </c:pt>
                <c:pt idx="16">
                  <c:v>11.47</c:v>
                </c:pt>
                <c:pt idx="17">
                  <c:v>34.57</c:v>
                </c:pt>
                <c:pt idx="18">
                  <c:v>-2.84</c:v>
                </c:pt>
                <c:pt idx="19">
                  <c:v>19.559999999999999</c:v>
                </c:pt>
                <c:pt idx="20">
                  <c:v>118.73</c:v>
                </c:pt>
                <c:pt idx="21">
                  <c:v>-7.46</c:v>
                </c:pt>
                <c:pt idx="22">
                  <c:v>-10.49</c:v>
                </c:pt>
                <c:pt idx="23">
                  <c:v>19.79</c:v>
                </c:pt>
                <c:pt idx="24">
                  <c:v>7.3</c:v>
                </c:pt>
              </c:numCache>
            </c:numRef>
          </c:yVal>
          <c:smooth val="0"/>
          <c:extLst>
            <c:ext xmlns:c16="http://schemas.microsoft.com/office/drawing/2014/chart" uri="{C3380CC4-5D6E-409C-BE32-E72D297353CC}">
              <c16:uniqueId val="{00000001-E71F-48A3-9FCF-B82E4A3DA4BF}"/>
            </c:ext>
          </c:extLst>
        </c:ser>
        <c:dLbls>
          <c:showLegendKey val="0"/>
          <c:showVal val="0"/>
          <c:showCatName val="0"/>
          <c:showSerName val="0"/>
          <c:showPercent val="0"/>
          <c:showBubbleSize val="0"/>
        </c:dLbls>
        <c:axId val="1462444559"/>
        <c:axId val="1462448399"/>
      </c:scatterChart>
      <c:valAx>
        <c:axId val="1462444559"/>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Schedule</a:t>
                </a:r>
                <a:r>
                  <a:rPr lang="en-US" baseline="0"/>
                  <a:t> Variance in Months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2448399"/>
        <c:crosses val="autoZero"/>
        <c:crossBetween val="midCat"/>
      </c:valAx>
      <c:valAx>
        <c:axId val="146244839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Cost Overrun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244455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[nasa_cost_model.xlsx]Pivot tables!PivotTable7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Outcome By Destination</a:t>
            </a:r>
          </a:p>
        </c:rich>
      </c:tx>
      <c:layout>
        <c:manualLayout>
          <c:xMode val="edge"/>
          <c:yMode val="edge"/>
          <c:x val="0.29828448035698829"/>
          <c:y val="4.46489998079816E-2"/>
        </c:manualLayout>
      </c:layout>
      <c:overlay val="0"/>
      <c:spPr>
        <a:noFill/>
        <a:ln>
          <a:noFill/>
        </a:ln>
        <a:effectLst/>
      </c:spPr>
    </c:title>
    <c:autoTitleDeleted val="0"/>
    <c:pivotFmts>
      <c:pivotFmt>
        <c:idx val="0"/>
        <c:spPr>
          <a:solidFill>
            <a:schemeClr val="accent3"/>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3"/>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3"/>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9"/>
        <c:spPr>
          <a:solidFill>
            <a:schemeClr val="accent3"/>
          </a:solidFill>
          <a:ln>
            <a:noFill/>
          </a:ln>
          <a:effectLst/>
        </c:spPr>
        <c:marker>
          <c:symbol val="none"/>
        </c:marker>
        <c:dLbl>
          <c:idx val="0"/>
          <c:delete val="1"/>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12"/>
        <c:spPr>
          <a:solidFill>
            <a:schemeClr val="accent3"/>
          </a:solidFill>
          <a:ln>
            <a:noFill/>
          </a:ln>
          <a:effectLst/>
        </c:spPr>
        <c:marker>
          <c:symbol val="none"/>
        </c:marker>
        <c:dLbl>
          <c:idx val="0"/>
          <c:delete val="1"/>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4"/>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15"/>
        <c:spPr>
          <a:solidFill>
            <a:schemeClr val="accent3"/>
          </a:solidFill>
          <a:ln>
            <a:noFill/>
          </a:ln>
          <a:effectLst/>
        </c:spPr>
        <c:marker>
          <c:symbol val="none"/>
        </c:marker>
        <c:dLbl>
          <c:idx val="0"/>
          <c:delete val="1"/>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7"/>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s>
    <c:plotArea>
      <c:layout/>
      <c:barChart>
        <c:barDir val="bar"/>
        <c:grouping val="stacked"/>
        <c:varyColors val="0"/>
        <c:ser>
          <c:idx val="0"/>
          <c:order val="0"/>
          <c:tx>
            <c:strRef>
              <c:f>'Pivot tables'!$C$81:$C$82</c:f>
              <c:strCache>
                <c:ptCount val="1"/>
                <c:pt idx="0">
                  <c:v>Success</c:v>
                </c:pt>
              </c:strCache>
            </c:strRef>
          </c:tx>
          <c:spPr>
            <a:solidFill>
              <a:schemeClr val="accent3"/>
            </a:solidFill>
            <a:ln>
              <a:noFill/>
            </a:ln>
            <a:effectLst/>
          </c:spPr>
          <c:invertIfNegative val="0"/>
          <c:cat>
            <c:strRef>
              <c:f>'Pivot tables'!$B$83:$B$92</c:f>
              <c:strCache>
                <c:ptCount val="9"/>
                <c:pt idx="0">
                  <c:v>Asteroid</c:v>
                </c:pt>
                <c:pt idx="1">
                  <c:v>Asteroid Belt</c:v>
                </c:pt>
                <c:pt idx="2">
                  <c:v>Comet</c:v>
                </c:pt>
                <c:pt idx="3">
                  <c:v>Jupiter</c:v>
                </c:pt>
                <c:pt idx="4">
                  <c:v>L1</c:v>
                </c:pt>
                <c:pt idx="5">
                  <c:v>Lunar</c:v>
                </c:pt>
                <c:pt idx="6">
                  <c:v>Mars</c:v>
                </c:pt>
                <c:pt idx="7">
                  <c:v>Mercury</c:v>
                </c:pt>
                <c:pt idx="8">
                  <c:v>Saturn</c:v>
                </c:pt>
              </c:strCache>
            </c:strRef>
          </c:cat>
          <c:val>
            <c:numRef>
              <c:f>'Pivot tables'!$C$83:$C$92</c:f>
              <c:numCache>
                <c:formatCode>General</c:formatCode>
                <c:ptCount val="9"/>
                <c:pt idx="0">
                  <c:v>3</c:v>
                </c:pt>
                <c:pt idx="2">
                  <c:v>2</c:v>
                </c:pt>
                <c:pt idx="3">
                  <c:v>2</c:v>
                </c:pt>
                <c:pt idx="4">
                  <c:v>1</c:v>
                </c:pt>
                <c:pt idx="5">
                  <c:v>4</c:v>
                </c:pt>
                <c:pt idx="6">
                  <c:v>2</c:v>
                </c:pt>
                <c:pt idx="7">
                  <c:v>1</c:v>
                </c:pt>
                <c:pt idx="8">
                  <c:v>1</c:v>
                </c:pt>
              </c:numCache>
            </c:numRef>
          </c:val>
          <c:extLst>
            <c:ext xmlns:c16="http://schemas.microsoft.com/office/drawing/2014/chart" uri="{C3380CC4-5D6E-409C-BE32-E72D297353CC}">
              <c16:uniqueId val="{0000000A-3760-4421-9095-03A18C2E059E}"/>
            </c:ext>
          </c:extLst>
        </c:ser>
        <c:ser>
          <c:idx val="1"/>
          <c:order val="1"/>
          <c:tx>
            <c:strRef>
              <c:f>'Pivot tables'!$D$81:$D$82</c:f>
              <c:strCache>
                <c:ptCount val="1"/>
                <c:pt idx="0">
                  <c:v>Operational</c:v>
                </c:pt>
              </c:strCache>
            </c:strRef>
          </c:tx>
          <c:spPr>
            <a:solidFill>
              <a:schemeClr val="accent1"/>
            </a:solidFill>
            <a:ln>
              <a:noFill/>
            </a:ln>
            <a:effectLst/>
          </c:spPr>
          <c:invertIfNegative val="0"/>
          <c:cat>
            <c:strRef>
              <c:f>'Pivot tables'!$B$83:$B$92</c:f>
              <c:strCache>
                <c:ptCount val="9"/>
                <c:pt idx="0">
                  <c:v>Asteroid</c:v>
                </c:pt>
                <c:pt idx="1">
                  <c:v>Asteroid Belt</c:v>
                </c:pt>
                <c:pt idx="2">
                  <c:v>Comet</c:v>
                </c:pt>
                <c:pt idx="3">
                  <c:v>Jupiter</c:v>
                </c:pt>
                <c:pt idx="4">
                  <c:v>L1</c:v>
                </c:pt>
                <c:pt idx="5">
                  <c:v>Lunar</c:v>
                </c:pt>
                <c:pt idx="6">
                  <c:v>Mars</c:v>
                </c:pt>
                <c:pt idx="7">
                  <c:v>Mercury</c:v>
                </c:pt>
                <c:pt idx="8">
                  <c:v>Saturn</c:v>
                </c:pt>
              </c:strCache>
            </c:strRef>
          </c:cat>
          <c:val>
            <c:numRef>
              <c:f>'Pivot tables'!$D$83:$D$92</c:f>
              <c:numCache>
                <c:formatCode>General</c:formatCode>
                <c:ptCount val="9"/>
                <c:pt idx="0">
                  <c:v>1</c:v>
                </c:pt>
                <c:pt idx="1">
                  <c:v>1</c:v>
                </c:pt>
                <c:pt idx="3">
                  <c:v>1</c:v>
                </c:pt>
                <c:pt idx="6">
                  <c:v>3</c:v>
                </c:pt>
              </c:numCache>
            </c:numRef>
          </c:val>
          <c:extLst>
            <c:ext xmlns:c16="http://schemas.microsoft.com/office/drawing/2014/chart" uri="{C3380CC4-5D6E-409C-BE32-E72D297353CC}">
              <c16:uniqueId val="{0000000C-3760-4421-9095-03A18C2E059E}"/>
            </c:ext>
          </c:extLst>
        </c:ser>
        <c:ser>
          <c:idx val="2"/>
          <c:order val="2"/>
          <c:tx>
            <c:strRef>
              <c:f>'Pivot tables'!$E$81:$E$82</c:f>
              <c:strCache>
                <c:ptCount val="1"/>
                <c:pt idx="0">
                  <c:v>Failure</c:v>
                </c:pt>
              </c:strCache>
            </c:strRef>
          </c:tx>
          <c:spPr>
            <a:solidFill>
              <a:schemeClr val="accent2"/>
            </a:solidFill>
            <a:ln>
              <a:noFill/>
            </a:ln>
            <a:effectLst/>
          </c:spPr>
          <c:invertIfNegative val="0"/>
          <c:cat>
            <c:strRef>
              <c:f>'Pivot tables'!$B$83:$B$92</c:f>
              <c:strCache>
                <c:ptCount val="9"/>
                <c:pt idx="0">
                  <c:v>Asteroid</c:v>
                </c:pt>
                <c:pt idx="1">
                  <c:v>Asteroid Belt</c:v>
                </c:pt>
                <c:pt idx="2">
                  <c:v>Comet</c:v>
                </c:pt>
                <c:pt idx="3">
                  <c:v>Jupiter</c:v>
                </c:pt>
                <c:pt idx="4">
                  <c:v>L1</c:v>
                </c:pt>
                <c:pt idx="5">
                  <c:v>Lunar</c:v>
                </c:pt>
                <c:pt idx="6">
                  <c:v>Mars</c:v>
                </c:pt>
                <c:pt idx="7">
                  <c:v>Mercury</c:v>
                </c:pt>
                <c:pt idx="8">
                  <c:v>Saturn</c:v>
                </c:pt>
              </c:strCache>
            </c:strRef>
          </c:cat>
          <c:val>
            <c:numRef>
              <c:f>'Pivot tables'!$E$83:$E$92</c:f>
              <c:numCache>
                <c:formatCode>General</c:formatCode>
                <c:ptCount val="9"/>
                <c:pt idx="2">
                  <c:v>1</c:v>
                </c:pt>
                <c:pt idx="6">
                  <c:v>2</c:v>
                </c:pt>
              </c:numCache>
            </c:numRef>
          </c:val>
          <c:extLst>
            <c:ext xmlns:c16="http://schemas.microsoft.com/office/drawing/2014/chart" uri="{C3380CC4-5D6E-409C-BE32-E72D297353CC}">
              <c16:uniqueId val="{00000010-3760-4421-9095-03A18C2E059E}"/>
            </c:ext>
          </c:extLst>
        </c:ser>
        <c:dLbls>
          <c:showLegendKey val="0"/>
          <c:showVal val="0"/>
          <c:showCatName val="0"/>
          <c:showSerName val="0"/>
          <c:showPercent val="0"/>
          <c:showBubbleSize val="0"/>
        </c:dLbls>
        <c:gapWidth val="150"/>
        <c:overlap val="100"/>
        <c:axId val="1334270911"/>
        <c:axId val="1334271871"/>
      </c:barChart>
      <c:catAx>
        <c:axId val="133427091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Destination</a:t>
                </a:r>
              </a:p>
            </c:rich>
          </c:tx>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4271871"/>
        <c:crosses val="autoZero"/>
        <c:auto val="1"/>
        <c:lblAlgn val="ctr"/>
        <c:lblOffset val="100"/>
        <c:noMultiLvlLbl val="0"/>
      </c:catAx>
      <c:valAx>
        <c:axId val="13342718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4270911"/>
        <c:crosses val="autoZero"/>
        <c:crossBetween val="between"/>
      </c:valAx>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[nasa_cost_model.xlsx]Pivot tables!PivotTable8</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tables'!$C$95</c:f>
              <c:strCache>
                <c:ptCount val="1"/>
                <c:pt idx="0">
                  <c:v>Average of Cost_Variance_Pct</c:v>
                </c:pt>
              </c:strCache>
            </c:strRef>
          </c:tx>
          <c:spPr>
            <a:solidFill>
              <a:schemeClr val="accent1"/>
            </a:solidFill>
            <a:ln>
              <a:noFill/>
            </a:ln>
            <a:effectLst/>
          </c:spPr>
          <c:invertIfNegative val="0"/>
          <c:cat>
            <c:strRef>
              <c:f>'Pivot tables'!$B$96:$B$98</c:f>
              <c:strCache>
                <c:ptCount val="2"/>
                <c:pt idx="0">
                  <c:v>RTG</c:v>
                </c:pt>
                <c:pt idx="1">
                  <c:v>SA</c:v>
                </c:pt>
              </c:strCache>
            </c:strRef>
          </c:cat>
          <c:val>
            <c:numRef>
              <c:f>'Pivot tables'!$C$96:$C$98</c:f>
              <c:numCache>
                <c:formatCode>0.0</c:formatCode>
                <c:ptCount val="2"/>
                <c:pt idx="0">
                  <c:v>138.06000000000003</c:v>
                </c:pt>
                <c:pt idx="1">
                  <c:v>15.604545454545461</c:v>
                </c:pt>
              </c:numCache>
            </c:numRef>
          </c:val>
          <c:extLst>
            <c:ext xmlns:c16="http://schemas.microsoft.com/office/drawing/2014/chart" uri="{C3380CC4-5D6E-409C-BE32-E72D297353CC}">
              <c16:uniqueId val="{00000000-5FD5-4CB1-9306-936631F4B9A7}"/>
            </c:ext>
          </c:extLst>
        </c:ser>
        <c:ser>
          <c:idx val="1"/>
          <c:order val="1"/>
          <c:tx>
            <c:strRef>
              <c:f>'Pivot tables'!$D$95</c:f>
              <c:strCache>
                <c:ptCount val="1"/>
                <c:pt idx="0">
                  <c:v>Average of Complexity_Score</c:v>
                </c:pt>
              </c:strCache>
            </c:strRef>
          </c:tx>
          <c:spPr>
            <a:solidFill>
              <a:schemeClr val="accent2"/>
            </a:solidFill>
            <a:ln>
              <a:noFill/>
            </a:ln>
            <a:effectLst/>
          </c:spPr>
          <c:invertIfNegative val="0"/>
          <c:cat>
            <c:strRef>
              <c:f>'Pivot tables'!$B$96:$B$98</c:f>
              <c:strCache>
                <c:ptCount val="2"/>
                <c:pt idx="0">
                  <c:v>RTG</c:v>
                </c:pt>
                <c:pt idx="1">
                  <c:v>SA</c:v>
                </c:pt>
              </c:strCache>
            </c:strRef>
          </c:cat>
          <c:val>
            <c:numRef>
              <c:f>'Pivot tables'!$D$96:$D$98</c:f>
              <c:numCache>
                <c:formatCode>0.00</c:formatCode>
                <c:ptCount val="2"/>
                <c:pt idx="0">
                  <c:v>2</c:v>
                </c:pt>
                <c:pt idx="1">
                  <c:v>0.31818181818181818</c:v>
                </c:pt>
              </c:numCache>
            </c:numRef>
          </c:val>
          <c:extLst>
            <c:ext xmlns:c16="http://schemas.microsoft.com/office/drawing/2014/chart" uri="{C3380CC4-5D6E-409C-BE32-E72D297353CC}">
              <c16:uniqueId val="{00000001-5FD5-4CB1-9306-936631F4B9A7}"/>
            </c:ext>
          </c:extLst>
        </c:ser>
        <c:ser>
          <c:idx val="2"/>
          <c:order val="2"/>
          <c:tx>
            <c:strRef>
              <c:f>'Pivot tables'!$E$95</c:f>
              <c:strCache>
                <c:ptCount val="1"/>
                <c:pt idx="0">
                  <c:v>Average of Mission_Duration_Yrs</c:v>
                </c:pt>
              </c:strCache>
            </c:strRef>
          </c:tx>
          <c:spPr>
            <a:solidFill>
              <a:schemeClr val="accent3"/>
            </a:solidFill>
            <a:ln>
              <a:noFill/>
            </a:ln>
            <a:effectLst/>
          </c:spPr>
          <c:invertIfNegative val="0"/>
          <c:cat>
            <c:strRef>
              <c:f>'Pivot tables'!$B$96:$B$98</c:f>
              <c:strCache>
                <c:ptCount val="2"/>
                <c:pt idx="0">
                  <c:v>RTG</c:v>
                </c:pt>
                <c:pt idx="1">
                  <c:v>SA</c:v>
                </c:pt>
              </c:strCache>
            </c:strRef>
          </c:cat>
          <c:val>
            <c:numRef>
              <c:f>'Pivot tables'!$E$96:$E$98</c:f>
              <c:numCache>
                <c:formatCode>0.00</c:formatCode>
                <c:ptCount val="2"/>
                <c:pt idx="0">
                  <c:v>15.383333333333335</c:v>
                </c:pt>
                <c:pt idx="1">
                  <c:v>6.3995454545454553</c:v>
                </c:pt>
              </c:numCache>
            </c:numRef>
          </c:val>
          <c:extLst>
            <c:ext xmlns:c16="http://schemas.microsoft.com/office/drawing/2014/chart" uri="{C3380CC4-5D6E-409C-BE32-E72D297353CC}">
              <c16:uniqueId val="{00000002-5FD5-4CB1-9306-936631F4B9A7}"/>
            </c:ext>
          </c:extLst>
        </c:ser>
        <c:ser>
          <c:idx val="3"/>
          <c:order val="3"/>
          <c:tx>
            <c:strRef>
              <c:f>'Pivot tables'!$F$95</c:f>
              <c:strCache>
                <c:ptCount val="1"/>
                <c:pt idx="0">
                  <c:v>Sum of Is_Failure</c:v>
                </c:pt>
              </c:strCache>
            </c:strRef>
          </c:tx>
          <c:spPr>
            <a:solidFill>
              <a:schemeClr val="accent4"/>
            </a:solidFill>
            <a:ln>
              <a:noFill/>
            </a:ln>
            <a:effectLst/>
          </c:spPr>
          <c:invertIfNegative val="0"/>
          <c:cat>
            <c:strRef>
              <c:f>'Pivot tables'!$B$96:$B$98</c:f>
              <c:strCache>
                <c:ptCount val="2"/>
                <c:pt idx="0">
                  <c:v>RTG</c:v>
                </c:pt>
                <c:pt idx="1">
                  <c:v>SA</c:v>
                </c:pt>
              </c:strCache>
            </c:strRef>
          </c:cat>
          <c:val>
            <c:numRef>
              <c:f>'Pivot tables'!$F$96:$F$98</c:f>
              <c:numCache>
                <c:formatCode>General</c:formatCode>
                <c:ptCount val="2"/>
                <c:pt idx="0">
                  <c:v>0</c:v>
                </c:pt>
                <c:pt idx="1">
                  <c:v>3</c:v>
                </c:pt>
              </c:numCache>
            </c:numRef>
          </c:val>
          <c:extLst>
            <c:ext xmlns:c16="http://schemas.microsoft.com/office/drawing/2014/chart" uri="{C3380CC4-5D6E-409C-BE32-E72D297353CC}">
              <c16:uniqueId val="{00000003-5FD5-4CB1-9306-936631F4B9A7}"/>
            </c:ext>
          </c:extLst>
        </c:ser>
        <c:ser>
          <c:idx val="4"/>
          <c:order val="4"/>
          <c:tx>
            <c:strRef>
              <c:f>'Pivot tables'!$G$95</c:f>
              <c:strCache>
                <c:ptCount val="1"/>
                <c:pt idx="0">
                  <c:v>Count of Mission</c:v>
                </c:pt>
              </c:strCache>
            </c:strRef>
          </c:tx>
          <c:spPr>
            <a:solidFill>
              <a:schemeClr val="accent5"/>
            </a:solidFill>
            <a:ln>
              <a:noFill/>
            </a:ln>
            <a:effectLst/>
          </c:spPr>
          <c:invertIfNegative val="0"/>
          <c:cat>
            <c:strRef>
              <c:f>'Pivot tables'!$B$96:$B$98</c:f>
              <c:strCache>
                <c:ptCount val="2"/>
                <c:pt idx="0">
                  <c:v>RTG</c:v>
                </c:pt>
                <c:pt idx="1">
                  <c:v>SA</c:v>
                </c:pt>
              </c:strCache>
            </c:strRef>
          </c:cat>
          <c:val>
            <c:numRef>
              <c:f>'Pivot tables'!$G$96:$G$98</c:f>
              <c:numCache>
                <c:formatCode>General</c:formatCode>
                <c:ptCount val="2"/>
                <c:pt idx="0">
                  <c:v>3</c:v>
                </c:pt>
                <c:pt idx="1">
                  <c:v>22</c:v>
                </c:pt>
              </c:numCache>
            </c:numRef>
          </c:val>
          <c:extLst>
            <c:ext xmlns:c16="http://schemas.microsoft.com/office/drawing/2014/chart" uri="{C3380CC4-5D6E-409C-BE32-E72D297353CC}">
              <c16:uniqueId val="{00000004-5FD5-4CB1-9306-936631F4B9A7}"/>
            </c:ext>
          </c:extLst>
        </c:ser>
        <c:dLbls>
          <c:showLegendKey val="0"/>
          <c:showVal val="0"/>
          <c:showCatName val="0"/>
          <c:showSerName val="0"/>
          <c:showPercent val="0"/>
          <c:showBubbleSize val="0"/>
        </c:dLbls>
        <c:gapWidth val="219"/>
        <c:overlap val="-27"/>
        <c:axId val="1972096575"/>
        <c:axId val="1972114335"/>
      </c:barChart>
      <c:catAx>
        <c:axId val="197209657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Power Source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2114335"/>
        <c:crosses val="autoZero"/>
        <c:auto val="1"/>
        <c:lblAlgn val="ctr"/>
        <c:lblOffset val="100"/>
        <c:noMultiLvlLbl val="0"/>
      </c:catAx>
      <c:valAx>
        <c:axId val="1972114335"/>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20965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[nasa_cost_model.xlsx]Pivot tables!PivotTable4</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Cost Variance</a:t>
            </a:r>
            <a:r>
              <a:rPr lang="en-US" baseline="0"/>
              <a:t> Pct Across Complexity</a:t>
            </a:r>
            <a:endParaRPr lang="en-US"/>
          </a:p>
        </c:rich>
      </c:tx>
      <c:overlay val="0"/>
      <c:spPr>
        <a:noFill/>
        <a:ln>
          <a:noFill/>
        </a:ln>
        <a:effectLst/>
      </c:sp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delete val="1"/>
          <c:extLst>
            <c:ext xmlns:c15="http://schemas.microsoft.com/office/drawing/2012/chart" uri="{CE6537A1-D6FC-4f65-9D91-7224C49458BB}"/>
          </c:extLst>
        </c:dLbl>
      </c:pivotFmt>
      <c:pivotFmt>
        <c:idx val="3"/>
      </c:pivotFmt>
      <c:pivotFmt>
        <c:idx val="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
        <c:idx val="21"/>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delete val="1"/>
          <c:extLst>
            <c:ext xmlns:c15="http://schemas.microsoft.com/office/drawing/2012/chart" uri="{CE6537A1-D6FC-4f65-9D91-7224C49458BB}"/>
          </c:extLst>
        </c:dLbl>
      </c:pivotFmt>
      <c:pivotFmt>
        <c:idx val="2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2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
        <c:idx val="24"/>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delete val="1"/>
          <c:extLst>
            <c:ext xmlns:c15="http://schemas.microsoft.com/office/drawing/2012/chart" uri="{CE6537A1-D6FC-4f65-9D91-7224C49458BB}"/>
          </c:extLst>
        </c:dLbl>
      </c:pivotFmt>
      <c:pivotFmt>
        <c:idx val="2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26"/>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
        <c:idx val="27"/>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delete val="1"/>
          <c:extLst>
            <c:ext xmlns:c15="http://schemas.microsoft.com/office/drawing/2012/chart" uri="{CE6537A1-D6FC-4f65-9D91-7224C49458BB}"/>
          </c:extLst>
        </c:dLbl>
      </c:pivotFmt>
      <c:pivotFmt>
        <c:idx val="28"/>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29"/>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
        <c:idx val="30"/>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delete val="1"/>
          <c:extLst>
            <c:ext xmlns:c15="http://schemas.microsoft.com/office/drawing/2012/chart" uri="{CE6537A1-D6FC-4f65-9D91-7224C49458BB}"/>
          </c:extLst>
        </c:dLbl>
      </c:pivotFmt>
      <c:pivotFmt>
        <c:idx val="31"/>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32"/>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
        <c:idx val="33"/>
        <c:spPr>
          <a:ln w="28575" cap="rnd">
            <a:solidFill>
              <a:schemeClr val="accent3"/>
            </a:solidFill>
            <a:round/>
          </a:ln>
          <a:effectLst/>
        </c:spPr>
        <c:marker>
          <c:symbol val="circle"/>
          <c:size val="5"/>
          <c:spPr>
            <a:solidFill>
              <a:schemeClr val="accent3"/>
            </a:solidFill>
            <a:ln w="9525">
              <a:solidFill>
                <a:schemeClr val="accent3"/>
              </a:solidFill>
            </a:ln>
            <a:effectLst/>
          </c:spPr>
        </c:marker>
        <c:dLbl>
          <c:idx val="0"/>
          <c:delete val="1"/>
          <c:extLst>
            <c:ext xmlns:c15="http://schemas.microsoft.com/office/drawing/2012/chart" uri="{CE6537A1-D6FC-4f65-9D91-7224C49458BB}"/>
          </c:extLst>
        </c:dLbl>
      </c:pivotFmt>
    </c:pivotFmts>
    <c:plotArea>
      <c:layout/>
      <c:lineChart>
        <c:grouping val="standard"/>
        <c:varyColors val="0"/>
        <c:ser>
          <c:idx val="0"/>
          <c:order val="0"/>
          <c:tx>
            <c:strRef>
              <c:f>'Pivot tables'!$C$29</c:f>
              <c:strCache>
                <c:ptCount val="1"/>
                <c:pt idx="0">
                  <c:v>Sum of Is_Failure</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tables'!$B$30:$B$34</c:f>
              <c:strCache>
                <c:ptCount val="4"/>
                <c:pt idx="0">
                  <c:v>0</c:v>
                </c:pt>
                <c:pt idx="1">
                  <c:v>1</c:v>
                </c:pt>
                <c:pt idx="2">
                  <c:v>2</c:v>
                </c:pt>
                <c:pt idx="3">
                  <c:v>3</c:v>
                </c:pt>
              </c:strCache>
            </c:strRef>
          </c:cat>
          <c:val>
            <c:numRef>
              <c:f>'Pivot tables'!$C$30:$C$34</c:f>
              <c:numCache>
                <c:formatCode>General</c:formatCode>
                <c:ptCount val="4"/>
                <c:pt idx="0">
                  <c:v>1</c:v>
                </c:pt>
                <c:pt idx="1">
                  <c:v>2</c:v>
                </c:pt>
                <c:pt idx="2">
                  <c:v>0</c:v>
                </c:pt>
                <c:pt idx="3">
                  <c:v>0</c:v>
                </c:pt>
              </c:numCache>
            </c:numRef>
          </c:val>
          <c:smooth val="0"/>
          <c:extLst>
            <c:ext xmlns:c16="http://schemas.microsoft.com/office/drawing/2014/chart" uri="{C3380CC4-5D6E-409C-BE32-E72D297353CC}">
              <c16:uniqueId val="{0000002D-B213-4678-B28D-538D671FF343}"/>
            </c:ext>
          </c:extLst>
        </c:ser>
        <c:ser>
          <c:idx val="1"/>
          <c:order val="1"/>
          <c:tx>
            <c:strRef>
              <c:f>'Pivot tables'!$D$29</c:f>
              <c:strCache>
                <c:ptCount val="1"/>
                <c:pt idx="0">
                  <c:v>Count of Mission</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tables'!$B$30:$B$34</c:f>
              <c:strCache>
                <c:ptCount val="4"/>
                <c:pt idx="0">
                  <c:v>0</c:v>
                </c:pt>
                <c:pt idx="1">
                  <c:v>1</c:v>
                </c:pt>
                <c:pt idx="2">
                  <c:v>2</c:v>
                </c:pt>
                <c:pt idx="3">
                  <c:v>3</c:v>
                </c:pt>
              </c:strCache>
            </c:strRef>
          </c:cat>
          <c:val>
            <c:numRef>
              <c:f>'Pivot tables'!$D$30:$D$34</c:f>
              <c:numCache>
                <c:formatCode>General</c:formatCode>
                <c:ptCount val="4"/>
                <c:pt idx="0">
                  <c:v>15</c:v>
                </c:pt>
                <c:pt idx="1">
                  <c:v>8</c:v>
                </c:pt>
                <c:pt idx="2">
                  <c:v>1</c:v>
                </c:pt>
                <c:pt idx="3">
                  <c:v>1</c:v>
                </c:pt>
              </c:numCache>
            </c:numRef>
          </c:val>
          <c:smooth val="0"/>
          <c:extLst>
            <c:ext xmlns:c16="http://schemas.microsoft.com/office/drawing/2014/chart" uri="{C3380CC4-5D6E-409C-BE32-E72D297353CC}">
              <c16:uniqueId val="{0000002F-B213-4678-B28D-538D671FF343}"/>
            </c:ext>
          </c:extLst>
        </c:ser>
        <c:ser>
          <c:idx val="2"/>
          <c:order val="2"/>
          <c:tx>
            <c:strRef>
              <c:f>'Pivot tables'!$E$29</c:f>
              <c:strCache>
                <c:ptCount val="1"/>
                <c:pt idx="0">
                  <c:v>Average of Cost_Variance_Pct</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'Pivot tables'!$B$30:$B$34</c:f>
              <c:strCache>
                <c:ptCount val="4"/>
                <c:pt idx="0">
                  <c:v>0</c:v>
                </c:pt>
                <c:pt idx="1">
                  <c:v>1</c:v>
                </c:pt>
                <c:pt idx="2">
                  <c:v>2</c:v>
                </c:pt>
                <c:pt idx="3">
                  <c:v>3</c:v>
                </c:pt>
              </c:strCache>
            </c:strRef>
          </c:cat>
          <c:val>
            <c:numRef>
              <c:f>'Pivot tables'!$E$30:$E$34</c:f>
              <c:numCache>
                <c:formatCode>0.00</c:formatCode>
                <c:ptCount val="4"/>
                <c:pt idx="0">
                  <c:v>12.697333333333331</c:v>
                </c:pt>
                <c:pt idx="1">
                  <c:v>18.578749999999999</c:v>
                </c:pt>
                <c:pt idx="2">
                  <c:v>299.66000000000003</c:v>
                </c:pt>
                <c:pt idx="3">
                  <c:v>118.73</c:v>
                </c:pt>
              </c:numCache>
            </c:numRef>
          </c:val>
          <c:smooth val="0"/>
          <c:extLst>
            <c:ext xmlns:c16="http://schemas.microsoft.com/office/drawing/2014/chart" uri="{C3380CC4-5D6E-409C-BE32-E72D297353CC}">
              <c16:uniqueId val="{00000031-B213-4678-B28D-538D671FF343}"/>
            </c:ext>
          </c:extLst>
        </c:ser>
        <c:dLbls>
          <c:showLegendKey val="0"/>
          <c:showVal val="0"/>
          <c:showCatName val="0"/>
          <c:showSerName val="0"/>
          <c:showPercent val="0"/>
          <c:showBubbleSize val="0"/>
        </c:dLbls>
        <c:marker val="1"/>
        <c:smooth val="0"/>
        <c:axId val="1972098495"/>
        <c:axId val="1972104255"/>
      </c:lineChart>
      <c:catAx>
        <c:axId val="197209849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Complexity</a:t>
                </a:r>
                <a:r>
                  <a:rPr lang="en-US" baseline="0"/>
                  <a:t> Score</a:t>
                </a:r>
                <a:endParaRPr lang="en-US"/>
              </a:p>
            </c:rich>
          </c:tx>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2104255"/>
        <c:crosses val="autoZero"/>
        <c:auto val="1"/>
        <c:lblAlgn val="ctr"/>
        <c:lblOffset val="100"/>
        <c:noMultiLvlLbl val="0"/>
      </c:catAx>
      <c:valAx>
        <c:axId val="1972104255"/>
        <c:scaling>
          <c:orientation val="minMax"/>
          <c:max val="2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2098495"/>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plotArea>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7</xdr:col>
      <xdr:colOff>97971</xdr:colOff>
      <xdr:row>0</xdr:row>
      <xdr:rowOff>40821</xdr:rowOff>
    </xdr:from>
    <xdr:to>
      <xdr:col>15</xdr:col>
      <xdr:colOff>326572</xdr:colOff>
      <xdr:row>9</xdr:row>
      <xdr:rowOff>13605</xdr:rowOff>
    </xdr:to>
    <xdr:graphicFrame macro="">
      <xdr:nvGraphicFramePr>
        <xdr:cNvPr id="2" name="Chart 1">
          <a:extLst>
            <a:ext uri="{FF2B5EF4-FFF2-40B4-BE49-F238E27FC236}">
              <a16:creationId xmlns:a16="http://schemas.microsoft.com/office/drawing/2014/main" id="{BF43DBE1-7A63-402D-AA14-6503E7C6D5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95250</xdr:colOff>
      <xdr:row>9</xdr:row>
      <xdr:rowOff>81642</xdr:rowOff>
    </xdr:from>
    <xdr:to>
      <xdr:col>15</xdr:col>
      <xdr:colOff>326572</xdr:colOff>
      <xdr:row>20</xdr:row>
      <xdr:rowOff>13607</xdr:rowOff>
    </xdr:to>
    <xdr:graphicFrame macro="">
      <xdr:nvGraphicFramePr>
        <xdr:cNvPr id="4" name="Chart 3">
          <a:extLst>
            <a:ext uri="{FF2B5EF4-FFF2-40B4-BE49-F238E27FC236}">
              <a16:creationId xmlns:a16="http://schemas.microsoft.com/office/drawing/2014/main" id="{1FAF189B-32B5-4534-BCF4-7ACF0E3466B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91757</xdr:colOff>
      <xdr:row>20</xdr:row>
      <xdr:rowOff>84766</xdr:rowOff>
    </xdr:from>
    <xdr:to>
      <xdr:col>15</xdr:col>
      <xdr:colOff>321878</xdr:colOff>
      <xdr:row>31</xdr:row>
      <xdr:rowOff>237725</xdr:rowOff>
    </xdr:to>
    <xdr:graphicFrame macro="">
      <xdr:nvGraphicFramePr>
        <xdr:cNvPr id="5" name="Chart 4">
          <a:extLst>
            <a:ext uri="{FF2B5EF4-FFF2-40B4-BE49-F238E27FC236}">
              <a16:creationId xmlns:a16="http://schemas.microsoft.com/office/drawing/2014/main" id="{6301E281-1D67-4657-B5C4-087733A7CD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100053</xdr:colOff>
      <xdr:row>32</xdr:row>
      <xdr:rowOff>60032</xdr:rowOff>
    </xdr:from>
    <xdr:to>
      <xdr:col>15</xdr:col>
      <xdr:colOff>312964</xdr:colOff>
      <xdr:row>45</xdr:row>
      <xdr:rowOff>95250</xdr:rowOff>
    </xdr:to>
    <xdr:graphicFrame macro="">
      <xdr:nvGraphicFramePr>
        <xdr:cNvPr id="6" name="Chart 5">
          <a:extLst>
            <a:ext uri="{FF2B5EF4-FFF2-40B4-BE49-F238E27FC236}">
              <a16:creationId xmlns:a16="http://schemas.microsoft.com/office/drawing/2014/main" id="{EAE36FF3-300B-4080-9DAB-85FBD049D8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18</xdr:col>
      <xdr:colOff>508907</xdr:colOff>
      <xdr:row>0</xdr:row>
      <xdr:rowOff>57151</xdr:rowOff>
    </xdr:from>
    <xdr:to>
      <xdr:col>21</xdr:col>
      <xdr:colOff>582386</xdr:colOff>
      <xdr:row>9</xdr:row>
      <xdr:rowOff>33617</xdr:rowOff>
    </xdr:to>
    <mc:AlternateContent xmlns:mc="http://schemas.openxmlformats.org/markup-compatibility/2006" xmlns:a14="http://schemas.microsoft.com/office/drawing/2010/main">
      <mc:Choice Requires="a14">
        <xdr:graphicFrame macro="">
          <xdr:nvGraphicFramePr>
            <xdr:cNvPr id="7" name="Mission_Type">
              <a:extLst>
                <a:ext uri="{FF2B5EF4-FFF2-40B4-BE49-F238E27FC236}">
                  <a16:creationId xmlns:a16="http://schemas.microsoft.com/office/drawing/2014/main" id="{02664C05-06F7-C35E-8B97-7269DEB1D266}"/>
                </a:ext>
              </a:extLst>
            </xdr:cNvPr>
            <xdr:cNvGraphicFramePr/>
          </xdr:nvGraphicFramePr>
          <xdr:xfrm>
            <a:off x="0" y="0"/>
            <a:ext cx="0" cy="0"/>
          </xdr:xfrm>
          <a:graphic>
            <a:graphicData uri="http://schemas.microsoft.com/office/drawing/2010/slicer">
              <sle:slicer xmlns:sle="http://schemas.microsoft.com/office/drawing/2010/slicer" name="Mission_Type"/>
            </a:graphicData>
          </a:graphic>
        </xdr:graphicFrame>
      </mc:Choice>
      <mc:Fallback xmlns="">
        <xdr:sp macro="" textlink="">
          <xdr:nvSpPr>
            <xdr:cNvPr id="0" name=""/>
            <xdr:cNvSpPr>
              <a:spLocks noTextEdit="1"/>
            </xdr:cNvSpPr>
          </xdr:nvSpPr>
          <xdr:spPr>
            <a:xfrm>
              <a:off x="15984231" y="57151"/>
              <a:ext cx="1821596" cy="248658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400051</xdr:colOff>
      <xdr:row>0</xdr:row>
      <xdr:rowOff>57150</xdr:rowOff>
    </xdr:from>
    <xdr:to>
      <xdr:col>18</xdr:col>
      <xdr:colOff>473529</xdr:colOff>
      <xdr:row>9</xdr:row>
      <xdr:rowOff>27214</xdr:rowOff>
    </xdr:to>
    <mc:AlternateContent xmlns:mc="http://schemas.openxmlformats.org/markup-compatibility/2006" xmlns:a14="http://schemas.microsoft.com/office/drawing/2010/main">
      <mc:Choice Requires="a14">
        <xdr:graphicFrame macro="">
          <xdr:nvGraphicFramePr>
            <xdr:cNvPr id="8" name="Mission_Era">
              <a:extLst>
                <a:ext uri="{FF2B5EF4-FFF2-40B4-BE49-F238E27FC236}">
                  <a16:creationId xmlns:a16="http://schemas.microsoft.com/office/drawing/2014/main" id="{86F3E410-6AE6-BCA3-0D03-864FCB1974C8}"/>
                </a:ext>
              </a:extLst>
            </xdr:cNvPr>
            <xdr:cNvGraphicFramePr/>
          </xdr:nvGraphicFramePr>
          <xdr:xfrm>
            <a:off x="0" y="0"/>
            <a:ext cx="0" cy="0"/>
          </xdr:xfrm>
          <a:graphic>
            <a:graphicData uri="http://schemas.microsoft.com/office/drawing/2010/slicer">
              <sle:slicer xmlns:sle="http://schemas.microsoft.com/office/drawing/2010/slicer" name="Mission_Era"/>
            </a:graphicData>
          </a:graphic>
        </xdr:graphicFrame>
      </mc:Choice>
      <mc:Fallback xmlns="">
        <xdr:sp macro="" textlink="">
          <xdr:nvSpPr>
            <xdr:cNvPr id="0" name=""/>
            <xdr:cNvSpPr>
              <a:spLocks noTextEdit="1"/>
            </xdr:cNvSpPr>
          </xdr:nvSpPr>
          <xdr:spPr>
            <a:xfrm>
              <a:off x="14127257" y="57150"/>
              <a:ext cx="1821596" cy="248018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406854</xdr:colOff>
      <xdr:row>9</xdr:row>
      <xdr:rowOff>91168</xdr:rowOff>
    </xdr:from>
    <xdr:to>
      <xdr:col>18</xdr:col>
      <xdr:colOff>480332</xdr:colOff>
      <xdr:row>20</xdr:row>
      <xdr:rowOff>27214</xdr:rowOff>
    </xdr:to>
    <mc:AlternateContent xmlns:mc="http://schemas.openxmlformats.org/markup-compatibility/2006" xmlns:a14="http://schemas.microsoft.com/office/drawing/2010/main">
      <mc:Choice Requires="a14">
        <xdr:graphicFrame macro="">
          <xdr:nvGraphicFramePr>
            <xdr:cNvPr id="9" name="Destination">
              <a:extLst>
                <a:ext uri="{FF2B5EF4-FFF2-40B4-BE49-F238E27FC236}">
                  <a16:creationId xmlns:a16="http://schemas.microsoft.com/office/drawing/2014/main" id="{4B42FB3A-B62E-72AE-63B3-A40703E1651A}"/>
                </a:ext>
              </a:extLst>
            </xdr:cNvPr>
            <xdr:cNvGraphicFramePr/>
          </xdr:nvGraphicFramePr>
          <xdr:xfrm>
            <a:off x="0" y="0"/>
            <a:ext cx="0" cy="0"/>
          </xdr:xfrm>
          <a:graphic>
            <a:graphicData uri="http://schemas.microsoft.com/office/drawing/2010/slicer">
              <sle:slicer xmlns:sle="http://schemas.microsoft.com/office/drawing/2010/slicer" name="Destination"/>
            </a:graphicData>
          </a:graphic>
        </xdr:graphicFrame>
      </mc:Choice>
      <mc:Fallback xmlns="">
        <xdr:sp macro="" textlink="">
          <xdr:nvSpPr>
            <xdr:cNvPr id="0" name=""/>
            <xdr:cNvSpPr>
              <a:spLocks noTextEdit="1"/>
            </xdr:cNvSpPr>
          </xdr:nvSpPr>
          <xdr:spPr>
            <a:xfrm>
              <a:off x="14134060" y="2601286"/>
              <a:ext cx="1821596" cy="24013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398689</xdr:colOff>
      <xdr:row>32</xdr:row>
      <xdr:rowOff>80283</xdr:rowOff>
    </xdr:from>
    <xdr:to>
      <xdr:col>18</xdr:col>
      <xdr:colOff>472167</xdr:colOff>
      <xdr:row>45</xdr:row>
      <xdr:rowOff>95250</xdr:rowOff>
    </xdr:to>
    <mc:AlternateContent xmlns:mc="http://schemas.openxmlformats.org/markup-compatibility/2006" xmlns:a14="http://schemas.microsoft.com/office/drawing/2010/main">
      <mc:Choice Requires="a14">
        <xdr:graphicFrame macro="">
          <xdr:nvGraphicFramePr>
            <xdr:cNvPr id="11" name="Destination 1">
              <a:extLst>
                <a:ext uri="{FF2B5EF4-FFF2-40B4-BE49-F238E27FC236}">
                  <a16:creationId xmlns:a16="http://schemas.microsoft.com/office/drawing/2014/main" id="{BABBC070-A785-EB90-C576-EB07B6906945}"/>
                </a:ext>
              </a:extLst>
            </xdr:cNvPr>
            <xdr:cNvGraphicFramePr/>
          </xdr:nvGraphicFramePr>
          <xdr:xfrm>
            <a:off x="0" y="0"/>
            <a:ext cx="0" cy="0"/>
          </xdr:xfrm>
          <a:graphic>
            <a:graphicData uri="http://schemas.microsoft.com/office/drawing/2010/slicer">
              <sle:slicer xmlns:sle="http://schemas.microsoft.com/office/drawing/2010/slicer" name="Destination 1"/>
            </a:graphicData>
          </a:graphic>
        </xdr:graphicFrame>
      </mc:Choice>
      <mc:Fallback xmlns="">
        <xdr:sp macro="" textlink="">
          <xdr:nvSpPr>
            <xdr:cNvPr id="0" name=""/>
            <xdr:cNvSpPr>
              <a:spLocks noTextEdit="1"/>
            </xdr:cNvSpPr>
          </xdr:nvSpPr>
          <xdr:spPr>
            <a:xfrm>
              <a:off x="14125895" y="7969224"/>
              <a:ext cx="1821596" cy="28388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24</xdr:row>
      <xdr:rowOff>0</xdr:rowOff>
    </xdr:from>
    <xdr:to>
      <xdr:col>5</xdr:col>
      <xdr:colOff>163285</xdr:colOff>
      <xdr:row>50</xdr:row>
      <xdr:rowOff>86760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285750</xdr:colOff>
      <xdr:row>24</xdr:row>
      <xdr:rowOff>0</xdr:rowOff>
    </xdr:from>
    <xdr:to>
      <xdr:col>10</xdr:col>
      <xdr:colOff>81644</xdr:colOff>
      <xdr:row>50</xdr:row>
      <xdr:rowOff>81642</xdr:rowOff>
    </xdr:to>
    <xdr:graphicFrame macro="">
      <xdr:nvGraphicFramePr>
        <xdr:cNvPr id="4" name="Chart 3">
          <a:extLst>
            <a:ext uri="{FF2B5EF4-FFF2-40B4-BE49-F238E27FC236}">
              <a16:creationId xmlns:a16="http://schemas.microsoft.com/office/drawing/2014/main" id="{F0FFA052-3D85-45D3-8E4F-7DBED44ADD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xdr:colOff>
      <xdr:row>50</xdr:row>
      <xdr:rowOff>149678</xdr:rowOff>
    </xdr:from>
    <xdr:to>
      <xdr:col>10</xdr:col>
      <xdr:colOff>108858</xdr:colOff>
      <xdr:row>70</xdr:row>
      <xdr:rowOff>68035</xdr:rowOff>
    </xdr:to>
    <xdr:graphicFrame macro="">
      <xdr:nvGraphicFramePr>
        <xdr:cNvPr id="5" name="Chart 4">
          <a:extLst>
            <a:ext uri="{FF2B5EF4-FFF2-40B4-BE49-F238E27FC236}">
              <a16:creationId xmlns:a16="http://schemas.microsoft.com/office/drawing/2014/main" id="{B7F5AEE9-31E6-4872-90C7-B01C6F4ABD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8</xdr:col>
      <xdr:colOff>593912</xdr:colOff>
      <xdr:row>0</xdr:row>
      <xdr:rowOff>157163</xdr:rowOff>
    </xdr:from>
    <xdr:to>
      <xdr:col>10</xdr:col>
      <xdr:colOff>1785937</xdr:colOff>
      <xdr:row>12</xdr:row>
      <xdr:rowOff>145676</xdr:rowOff>
    </xdr:to>
    <xdr:graphicFrame macro="">
      <xdr:nvGraphicFramePr>
        <xdr:cNvPr id="2" name="Chart 1">
          <a:extLst>
            <a:ext uri="{FF2B5EF4-FFF2-40B4-BE49-F238E27FC236}">
              <a16:creationId xmlns:a16="http://schemas.microsoft.com/office/drawing/2014/main" id="{2F1EE635-554C-B95F-9EB9-07F6D26289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971550</xdr:colOff>
      <xdr:row>13</xdr:row>
      <xdr:rowOff>100012</xdr:rowOff>
    </xdr:from>
    <xdr:to>
      <xdr:col>10</xdr:col>
      <xdr:colOff>1428750</xdr:colOff>
      <xdr:row>24</xdr:row>
      <xdr:rowOff>-1</xdr:rowOff>
    </xdr:to>
    <xdr:graphicFrame macro="">
      <xdr:nvGraphicFramePr>
        <xdr:cNvPr id="3" name="Chart 2">
          <a:extLst>
            <a:ext uri="{FF2B5EF4-FFF2-40B4-BE49-F238E27FC236}">
              <a16:creationId xmlns:a16="http://schemas.microsoft.com/office/drawing/2014/main" id="{75BD37D1-3630-D2E6-48D8-8DF5C9E405D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20852</xdr:colOff>
      <xdr:row>40</xdr:row>
      <xdr:rowOff>156082</xdr:rowOff>
    </xdr:from>
    <xdr:to>
      <xdr:col>11</xdr:col>
      <xdr:colOff>497061</xdr:colOff>
      <xdr:row>52</xdr:row>
      <xdr:rowOff>162204</xdr:rowOff>
    </xdr:to>
    <xdr:graphicFrame macro="">
      <xdr:nvGraphicFramePr>
        <xdr:cNvPr id="5" name="Chart 4">
          <a:extLst>
            <a:ext uri="{FF2B5EF4-FFF2-40B4-BE49-F238E27FC236}">
              <a16:creationId xmlns:a16="http://schemas.microsoft.com/office/drawing/2014/main" id="{AF94C053-BC79-1F33-8B1C-79EC56DB9C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274863</xdr:colOff>
      <xdr:row>55</xdr:row>
      <xdr:rowOff>61232</xdr:rowOff>
    </xdr:from>
    <xdr:to>
      <xdr:col>8</xdr:col>
      <xdr:colOff>1465488</xdr:colOff>
      <xdr:row>77</xdr:row>
      <xdr:rowOff>37420</xdr:rowOff>
    </xdr:to>
    <xdr:graphicFrame macro="">
      <xdr:nvGraphicFramePr>
        <xdr:cNvPr id="6" name="Chart 5">
          <a:extLst>
            <a:ext uri="{FF2B5EF4-FFF2-40B4-BE49-F238E27FC236}">
              <a16:creationId xmlns:a16="http://schemas.microsoft.com/office/drawing/2014/main" id="{F24FE32B-2579-FF7B-6597-3D7494C012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574901</xdr:colOff>
      <xdr:row>80</xdr:row>
      <xdr:rowOff>68035</xdr:rowOff>
    </xdr:from>
    <xdr:to>
      <xdr:col>9</xdr:col>
      <xdr:colOff>1149124</xdr:colOff>
      <xdr:row>93</xdr:row>
      <xdr:rowOff>44222</xdr:rowOff>
    </xdr:to>
    <xdr:graphicFrame macro="">
      <xdr:nvGraphicFramePr>
        <xdr:cNvPr id="8" name="Chart 7">
          <a:extLst>
            <a:ext uri="{FF2B5EF4-FFF2-40B4-BE49-F238E27FC236}">
              <a16:creationId xmlns:a16="http://schemas.microsoft.com/office/drawing/2014/main" id="{949CEAEA-221C-ADB7-058C-77CC9C4E78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322490</xdr:colOff>
      <xdr:row>94</xdr:row>
      <xdr:rowOff>122464</xdr:rowOff>
    </xdr:from>
    <xdr:to>
      <xdr:col>10</xdr:col>
      <xdr:colOff>625930</xdr:colOff>
      <xdr:row>106</xdr:row>
      <xdr:rowOff>81644</xdr:rowOff>
    </xdr:to>
    <xdr:graphicFrame macro="">
      <xdr:nvGraphicFramePr>
        <xdr:cNvPr id="10" name="Chart 9">
          <a:extLst>
            <a:ext uri="{FF2B5EF4-FFF2-40B4-BE49-F238E27FC236}">
              <a16:creationId xmlns:a16="http://schemas.microsoft.com/office/drawing/2014/main" id="{B50813FC-F0FE-9EF4-7433-CF7312CF3C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5091</xdr:colOff>
      <xdr:row>24</xdr:row>
      <xdr:rowOff>22412</xdr:rowOff>
    </xdr:from>
    <xdr:to>
      <xdr:col>9</xdr:col>
      <xdr:colOff>1501589</xdr:colOff>
      <xdr:row>40</xdr:row>
      <xdr:rowOff>44824</xdr:rowOff>
    </xdr:to>
    <xdr:graphicFrame macro="">
      <xdr:nvGraphicFramePr>
        <xdr:cNvPr id="11" name="Chart 10">
          <a:extLst>
            <a:ext uri="{FF2B5EF4-FFF2-40B4-BE49-F238E27FC236}">
              <a16:creationId xmlns:a16="http://schemas.microsoft.com/office/drawing/2014/main" id="{C8B69CFE-BE3A-B1D1-C591-6480322F6C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9</xdr:col>
      <xdr:colOff>1467971</xdr:colOff>
      <xdr:row>80</xdr:row>
      <xdr:rowOff>0</xdr:rowOff>
    </xdr:from>
    <xdr:to>
      <xdr:col>10</xdr:col>
      <xdr:colOff>1429391</xdr:colOff>
      <xdr:row>94</xdr:row>
      <xdr:rowOff>22412</xdr:rowOff>
    </xdr:to>
    <mc:AlternateContent xmlns:mc="http://schemas.openxmlformats.org/markup-compatibility/2006" xmlns:a14="http://schemas.microsoft.com/office/drawing/2010/main">
      <mc:Choice Requires="a14">
        <xdr:graphicFrame macro="">
          <xdr:nvGraphicFramePr>
            <xdr:cNvPr id="13" name="Destination 2">
              <a:extLst>
                <a:ext uri="{FF2B5EF4-FFF2-40B4-BE49-F238E27FC236}">
                  <a16:creationId xmlns:a16="http://schemas.microsoft.com/office/drawing/2014/main" id="{D1A46DC5-FF62-4E6F-B888-748F2CFBA5EB}"/>
                </a:ext>
              </a:extLst>
            </xdr:cNvPr>
            <xdr:cNvGraphicFramePr/>
          </xdr:nvGraphicFramePr>
          <xdr:xfrm>
            <a:off x="0" y="0"/>
            <a:ext cx="0" cy="0"/>
          </xdr:xfrm>
          <a:graphic>
            <a:graphicData uri="http://schemas.microsoft.com/office/drawing/2010/slicer">
              <sle:slicer xmlns:sle="http://schemas.microsoft.com/office/drawing/2010/slicer" name="Destination 2"/>
            </a:graphicData>
          </a:graphic>
        </xdr:graphicFrame>
      </mc:Choice>
      <mc:Fallback xmlns="">
        <xdr:sp macro="" textlink="">
          <xdr:nvSpPr>
            <xdr:cNvPr id="0" name=""/>
            <xdr:cNvSpPr>
              <a:spLocks noTextEdit="1"/>
            </xdr:cNvSpPr>
          </xdr:nvSpPr>
          <xdr:spPr>
            <a:xfrm>
              <a:off x="9793942" y="15240000"/>
              <a:ext cx="1821596" cy="268941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1187823</xdr:colOff>
      <xdr:row>40</xdr:row>
      <xdr:rowOff>78441</xdr:rowOff>
    </xdr:from>
    <xdr:to>
      <xdr:col>12</xdr:col>
      <xdr:colOff>1149243</xdr:colOff>
      <xdr:row>53</xdr:row>
      <xdr:rowOff>3281</xdr:rowOff>
    </xdr:to>
    <mc:AlternateContent xmlns:mc="http://schemas.openxmlformats.org/markup-compatibility/2006" xmlns:a14="http://schemas.microsoft.com/office/drawing/2010/main">
      <mc:Choice Requires="a14">
        <xdr:graphicFrame macro="">
          <xdr:nvGraphicFramePr>
            <xdr:cNvPr id="14" name="Destination 3">
              <a:extLst>
                <a:ext uri="{FF2B5EF4-FFF2-40B4-BE49-F238E27FC236}">
                  <a16:creationId xmlns:a16="http://schemas.microsoft.com/office/drawing/2014/main" id="{30F35AE6-BC8E-40E3-A193-E578531CD14F}"/>
                </a:ext>
              </a:extLst>
            </xdr:cNvPr>
            <xdr:cNvGraphicFramePr/>
          </xdr:nvGraphicFramePr>
          <xdr:xfrm>
            <a:off x="0" y="0"/>
            <a:ext cx="0" cy="0"/>
          </xdr:xfrm>
          <a:graphic>
            <a:graphicData uri="http://schemas.microsoft.com/office/drawing/2010/slicer">
              <sle:slicer xmlns:sle="http://schemas.microsoft.com/office/drawing/2010/slicer" name="Destination 3"/>
            </a:graphicData>
          </a:graphic>
        </xdr:graphicFrame>
      </mc:Choice>
      <mc:Fallback xmlns="">
        <xdr:sp macro="" textlink="">
          <xdr:nvSpPr>
            <xdr:cNvPr id="0" name=""/>
            <xdr:cNvSpPr>
              <a:spLocks noTextEdit="1"/>
            </xdr:cNvSpPr>
          </xdr:nvSpPr>
          <xdr:spPr>
            <a:xfrm>
              <a:off x="13234147" y="7698441"/>
              <a:ext cx="1821596" cy="24013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22412</xdr:colOff>
      <xdr:row>12</xdr:row>
      <xdr:rowOff>100853</xdr:rowOff>
    </xdr:from>
    <xdr:to>
      <xdr:col>11</xdr:col>
      <xdr:colOff>1844008</xdr:colOff>
      <xdr:row>25</xdr:row>
      <xdr:rowOff>104535</xdr:rowOff>
    </xdr:to>
    <mc:AlternateContent xmlns:mc="http://schemas.openxmlformats.org/markup-compatibility/2006" xmlns:a14="http://schemas.microsoft.com/office/drawing/2010/main">
      <mc:Choice Requires="a14">
        <xdr:graphicFrame macro="">
          <xdr:nvGraphicFramePr>
            <xdr:cNvPr id="15" name="Mission_Era 1">
              <a:extLst>
                <a:ext uri="{FF2B5EF4-FFF2-40B4-BE49-F238E27FC236}">
                  <a16:creationId xmlns:a16="http://schemas.microsoft.com/office/drawing/2014/main" id="{03DD39EF-7D77-40A2-B291-9C0B299BCF5D}"/>
                </a:ext>
              </a:extLst>
            </xdr:cNvPr>
            <xdr:cNvGraphicFramePr/>
          </xdr:nvGraphicFramePr>
          <xdr:xfrm>
            <a:off x="0" y="0"/>
            <a:ext cx="0" cy="0"/>
          </xdr:xfrm>
          <a:graphic>
            <a:graphicData uri="http://schemas.microsoft.com/office/drawing/2010/slicer">
              <sle:slicer xmlns:sle="http://schemas.microsoft.com/office/drawing/2010/slicer" name="Mission_Era 1"/>
            </a:graphicData>
          </a:graphic>
        </xdr:graphicFrame>
      </mc:Choice>
      <mc:Fallback xmlns="">
        <xdr:sp macro="" textlink="">
          <xdr:nvSpPr>
            <xdr:cNvPr id="0" name=""/>
            <xdr:cNvSpPr>
              <a:spLocks noTextEdit="1"/>
            </xdr:cNvSpPr>
          </xdr:nvSpPr>
          <xdr:spPr>
            <a:xfrm>
              <a:off x="12068736" y="2386853"/>
              <a:ext cx="1821596" cy="248018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33618</xdr:colOff>
      <xdr:row>12</xdr:row>
      <xdr:rowOff>112059</xdr:rowOff>
    </xdr:from>
    <xdr:to>
      <xdr:col>12</xdr:col>
      <xdr:colOff>1855214</xdr:colOff>
      <xdr:row>25</xdr:row>
      <xdr:rowOff>122143</xdr:rowOff>
    </xdr:to>
    <mc:AlternateContent xmlns:mc="http://schemas.openxmlformats.org/markup-compatibility/2006" xmlns:a14="http://schemas.microsoft.com/office/drawing/2010/main">
      <mc:Choice Requires="a14">
        <xdr:graphicFrame macro="">
          <xdr:nvGraphicFramePr>
            <xdr:cNvPr id="16" name="Mission_Type 1">
              <a:extLst>
                <a:ext uri="{FF2B5EF4-FFF2-40B4-BE49-F238E27FC236}">
                  <a16:creationId xmlns:a16="http://schemas.microsoft.com/office/drawing/2014/main" id="{33BBFE41-F525-4435-8CA8-2EB222AC5A4D}"/>
                </a:ext>
              </a:extLst>
            </xdr:cNvPr>
            <xdr:cNvGraphicFramePr/>
          </xdr:nvGraphicFramePr>
          <xdr:xfrm>
            <a:off x="0" y="0"/>
            <a:ext cx="0" cy="0"/>
          </xdr:xfrm>
          <a:graphic>
            <a:graphicData uri="http://schemas.microsoft.com/office/drawing/2010/slicer">
              <sle:slicer xmlns:sle="http://schemas.microsoft.com/office/drawing/2010/slicer" name="Mission_Type 1"/>
            </a:graphicData>
          </a:graphic>
        </xdr:graphicFrame>
      </mc:Choice>
      <mc:Fallback xmlns="">
        <xdr:sp macro="" textlink="">
          <xdr:nvSpPr>
            <xdr:cNvPr id="0" name=""/>
            <xdr:cNvSpPr>
              <a:spLocks noTextEdit="1"/>
            </xdr:cNvSpPr>
          </xdr:nvSpPr>
          <xdr:spPr>
            <a:xfrm>
              <a:off x="13940118" y="2398059"/>
              <a:ext cx="1821596" cy="248658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ameron lewis" refreshedDate="46080.727226041665" createdVersion="8" refreshedVersion="8" minRefreshableVersion="3" recordCount="25" xr:uid="{162DA2D8-6020-4B02-8F64-5FD5CD7F304B}">
  <cacheSource type="worksheet">
    <worksheetSource ref="A1:N26" sheet="plan_vs_actual"/>
  </cacheSource>
  <cacheFields count="14">
    <cacheField name="Mission" numFmtId="0">
      <sharedItems/>
    </cacheField>
    <cacheField name="Initiative" numFmtId="0">
      <sharedItems/>
    </cacheField>
    <cacheField name="Destination" numFmtId="0">
      <sharedItems/>
    </cacheField>
    <cacheField name="Mission_Type" numFmtId="0">
      <sharedItems count="5">
        <s v="Orbiter"/>
        <s v="Rover"/>
        <s v="Flyby"/>
        <s v="Sample Return"/>
        <s v="Impact"/>
      </sharedItems>
    </cacheField>
    <cacheField name="LaunchY" numFmtId="0">
      <sharedItems containsSemiMixedTypes="0" containsString="0" containsNumber="1" containsInteger="1" minValue="1989" maxValue="2023"/>
    </cacheField>
    <cacheField name="Planned_Budget" numFmtId="0">
      <sharedItems containsSemiMixedTypes="0" containsString="0" containsNumber="1" minValue="61.3" maxValue="1436.4"/>
    </cacheField>
    <cacheField name="Actual_Cost" numFmtId="0">
      <sharedItems containsSemiMixedTypes="0" containsString="0" containsNumber="1" minValue="61.7" maxValue="2337.1"/>
    </cacheField>
    <cacheField name="Variance_Amount" numFmtId="0">
      <sharedItems containsSemiMixedTypes="0" containsString="0" containsNumber="1" minValue="-90.8" maxValue="1268.5999999999999"/>
    </cacheField>
    <cacheField name="Variance_Pct" numFmtId="0">
      <sharedItems containsSemiMixedTypes="0" containsString="0" containsNumber="1" minValue="-10.49" maxValue="299.66000000000003"/>
    </cacheField>
    <cacheField name="Variance_Category" numFmtId="0">
      <sharedItems/>
    </cacheField>
    <cacheField name="Schedule_Variance_Months" numFmtId="0">
      <sharedItems containsSemiMixedTypes="0" containsString="0" containsNumber="1" containsInteger="1" minValue="-1" maxValue="74"/>
    </cacheField>
    <cacheField name="Schedule_Status" numFmtId="0">
      <sharedItems/>
    </cacheField>
    <cacheField name="Success" numFmtId="0">
      <sharedItems/>
    </cacheField>
    <cacheField name="Complexity_Score" numFmtId="0">
      <sharedItems containsSemiMixedTypes="0" containsString="0" containsNumber="1" containsInteger="1" minValue="0" maxValue="3"/>
    </cacheField>
  </cacheFields>
  <extLst>
    <ext xmlns:x14="http://schemas.microsoft.com/office/spreadsheetml/2009/9/main" uri="{725AE2AE-9491-48be-B2B4-4EB974FC3084}">
      <x14:pivotCacheDefinition pivotCacheId="179338781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ameron lewis" refreshedDate="46080.72985520833" createdVersion="8" refreshedVersion="8" minRefreshableVersion="3" recordCount="25" xr:uid="{8F88D775-77F9-4612-BAB1-2EA1B3DAC26A}">
  <cacheSource type="worksheet">
    <worksheetSource ref="A1:O26" sheet="mission_detail"/>
  </cacheSource>
  <cacheFields count="15">
    <cacheField name="Mission" numFmtId="0">
      <sharedItems/>
    </cacheField>
    <cacheField name="Initiative" numFmtId="0">
      <sharedItems/>
    </cacheField>
    <cacheField name="Destination" numFmtId="0">
      <sharedItems/>
    </cacheField>
    <cacheField name="Mission_Type" numFmtId="0">
      <sharedItems count="5">
        <s v="Orbiter"/>
        <s v="Flyby"/>
        <s v="Sample Return"/>
        <s v="Rover"/>
        <s v="Impact"/>
      </sharedItems>
    </cacheField>
    <cacheField name="LaunchY" numFmtId="0">
      <sharedItems containsSemiMixedTypes="0" containsString="0" containsNumber="1" containsInteger="1" minValue="1989" maxValue="2023"/>
    </cacheField>
    <cacheField name="Mission_Era" numFmtId="0">
      <sharedItems count="4">
        <s v="1990s"/>
        <s v="2000s"/>
        <s v="2010s"/>
        <s v="2020s"/>
      </sharedItems>
    </cacheField>
    <cacheField name="Proposed_Cost" numFmtId="0">
      <sharedItems containsSemiMixedTypes="0" containsString="0" containsNumber="1" minValue="61.3" maxValue="1436.4"/>
    </cacheField>
    <cacheField name="Realized_Cost" numFmtId="0">
      <sharedItems containsSemiMixedTypes="0" containsString="0" containsNumber="1" minValue="61.7" maxValue="2337.1"/>
    </cacheField>
    <cacheField name="Total_Dev_Cost" numFmtId="0">
      <sharedItems containsSemiMixedTypes="0" containsString="0" containsNumber="1" minValue="60.2" maxValue="3218.2"/>
    </cacheField>
    <cacheField name="Total_Launch_Cost" numFmtId="0">
      <sharedItems containsSemiMixedTypes="0" containsString="0" containsNumber="1" minValue="51.1" maxValue="946"/>
    </cacheField>
    <cacheField name="Total_Ops_Cost" numFmtId="0">
      <sharedItems containsSemiMixedTypes="0" containsString="0" containsNumber="1" minValue="0" maxValue="1149.4000000000001"/>
    </cacheField>
    <cacheField name="Total_Extension_Cost" numFmtId="0">
      <sharedItems containsString="0" containsBlank="1" containsNumber="1" minValue="4.0999999999999996" maxValue="938.6"/>
    </cacheField>
    <cacheField name="Total_Mission_Cost" numFmtId="0">
      <sharedItems containsSemiMixedTypes="0" containsString="0" containsNumber="1" minValue="125.2" maxValue="5916.8"/>
    </cacheField>
    <cacheField name="Cost_Variance_Pct" numFmtId="0">
      <sharedItems containsSemiMixedTypes="0" containsString="0" containsNumber="1" minValue="-10.49" maxValue="299.66000000000003"/>
    </cacheField>
    <cacheField name="Mission_Duration_Yrs" numFmtId="0">
      <sharedItems containsSemiMixedTypes="0" containsString="0" containsNumber="1" minValue="0" maxValue="24.03"/>
    </cacheField>
  </cacheFields>
  <extLst>
    <ext xmlns:x14="http://schemas.microsoft.com/office/spreadsheetml/2009/9/main" uri="{725AE2AE-9491-48be-B2B4-4EB974FC3084}">
      <x14:pivotCacheDefinition pivotCacheId="307657810"/>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ameron lewis" refreshedDate="46080.731519328707" createdVersion="8" refreshedVersion="8" minRefreshableVersion="3" recordCount="25" xr:uid="{179228A6-50A4-4D68-B56F-2455FE9D1B85}">
  <cacheSource type="worksheet">
    <worksheetSource ref="A1:AQ26" sheet="cost_risk_view"/>
  </cacheSource>
  <cacheFields count="45">
    <cacheField name="Mission" numFmtId="0">
      <sharedItems/>
    </cacheField>
    <cacheField name="Initiative" numFmtId="0">
      <sharedItems count="20">
        <s v="Mars Surveyor"/>
        <s v="Independent"/>
        <s v="Discovery 6"/>
        <s v="Planetary Def"/>
        <s v="Discovery 9"/>
        <s v="New Millennium"/>
        <s v="Discovery 5"/>
        <s v="Discovery 11A"/>
        <s v="Discovery 11B"/>
        <s v="New Frontiers 2"/>
        <s v="Discovery 13"/>
        <s v="Discovery 3"/>
        <s v="MPLMCO 1 of 2"/>
        <s v="Scout 2"/>
        <s v="Discovery 7"/>
        <s v="Flagship"/>
        <s v="Discovery 1"/>
        <s v="New Frontiers 3"/>
        <s v="Discovery 14"/>
        <s v="Discovery 4"/>
      </sharedItems>
    </cacheField>
    <cacheField name="Destination" numFmtId="0">
      <sharedItems count="9">
        <s v="Mars"/>
        <s v="Saturn"/>
        <s v="Comet"/>
        <s v="Asteroid"/>
        <s v="Jupiter"/>
        <s v="L1"/>
        <s v="Lunar"/>
        <s v="Mercury"/>
        <s v="Asteroid Belt"/>
      </sharedItems>
    </cacheField>
    <cacheField name="Mission_Type" numFmtId="0">
      <sharedItems/>
    </cacheField>
    <cacheField name="Launch_Vehicle" numFmtId="0">
      <sharedItems/>
    </cacheField>
    <cacheField name="Fiscal_Year" numFmtId="0">
      <sharedItems containsSemiMixedTypes="0" containsString="0" containsNumber="1" containsInteger="1" minValue="1989" maxValue="2023"/>
    </cacheField>
    <cacheField name="Success" numFmtId="0">
      <sharedItems count="3">
        <s v="Operational"/>
        <s v="Success"/>
        <s v="Failure"/>
      </sharedItems>
    </cacheField>
    <cacheField name="Is_Success" numFmtId="0">
      <sharedItems containsSemiMixedTypes="0" containsString="0" containsNumber="1" containsInteger="1" minValue="0" maxValue="1" count="2">
        <n v="0"/>
        <n v="1"/>
      </sharedItems>
    </cacheField>
    <cacheField name="Is_Failure" numFmtId="0">
      <sharedItems containsSemiMixedTypes="0" containsString="0" containsNumber="1" containsInteger="1" minValue="0" maxValue="1" count="2">
        <n v="0"/>
        <n v="1"/>
      </sharedItems>
    </cacheField>
    <cacheField name="Is_Operational" numFmtId="0">
      <sharedItems containsSemiMixedTypes="0" containsString="0" containsNumber="1" containsInteger="1" minValue="0" maxValue="1" count="2">
        <n v="1"/>
        <n v="0"/>
      </sharedItems>
    </cacheField>
    <cacheField name="Budget_Amount" numFmtId="0">
      <sharedItems containsSemiMixedTypes="0" containsString="0" containsNumber="1" minValue="61.3" maxValue="1436.4"/>
    </cacheField>
    <cacheField name="Actual_Cost" numFmtId="0">
      <sharedItems containsSemiMixedTypes="0" containsString="0" containsNumber="1" minValue="61.7" maxValue="2337.1"/>
    </cacheField>
    <cacheField name="Cost_Variance" numFmtId="0">
      <sharedItems containsSemiMixedTypes="0" containsString="0" containsNumber="1" minValue="-90.8" maxValue="1268.5999999999999"/>
    </cacheField>
    <cacheField name="Cost_Variance_Pct" numFmtId="0">
      <sharedItems containsSemiMixedTypes="0" containsString="0" containsNumber="1" minValue="-10.49" maxValue="299.66000000000003" count="24">
        <n v="37.01"/>
        <n v="-4.21"/>
        <n v="40.090000000000003"/>
        <n v="17.95"/>
        <n v="41.57"/>
        <n v="35.47"/>
        <n v="299.66000000000003"/>
        <n v="29.18"/>
        <n v="5.08"/>
        <n v="59.16"/>
        <n v="6.2"/>
        <n v="0.93"/>
        <n v="0.65"/>
        <n v="-0.19"/>
        <n v="-6.78"/>
        <n v="11.47"/>
        <n v="34.57"/>
        <n v="-2.84"/>
        <n v="19.559999999999999"/>
        <n v="118.73"/>
        <n v="-7.46"/>
        <n v="-10.49"/>
        <n v="19.79"/>
        <n v="7.3"/>
      </sharedItems>
    </cacheField>
    <cacheField name="Budget_Status" numFmtId="0">
      <sharedItems/>
    </cacheField>
    <cacheField name="Schedule_Variance_Months" numFmtId="0">
      <sharedItems containsSemiMixedTypes="0" containsString="0" containsNumber="1" containsInteger="1" minValue="-1" maxValue="74" count="14">
        <n v="1"/>
        <n v="18"/>
        <n v="6"/>
        <n v="16"/>
        <n v="0"/>
        <n v="74"/>
        <n v="9"/>
        <n v="2"/>
        <n v="26"/>
        <n v="12"/>
        <n v="4"/>
        <n v="-1"/>
        <n v="25"/>
        <n v="13"/>
      </sharedItems>
    </cacheField>
    <cacheField name="Schedule_Status" numFmtId="0">
      <sharedItems/>
    </cacheField>
    <cacheField name="PDR_to_CDR_Days" numFmtId="0">
      <sharedItems containsString="0" containsBlank="1" containsNumber="1" containsInteger="1" minValue="-2892" maxValue="1877"/>
    </cacheField>
    <cacheField name="CDR_to_Launch_Days" numFmtId="0">
      <sharedItems containsString="0" containsBlank="1" containsNumber="1" containsInteger="1" minValue="-190" maxValue="1639"/>
    </cacheField>
    <cacheField name="Complexity_Score" numFmtId="0">
      <sharedItems containsSemiMixedTypes="0" containsString="0" containsNumber="1" containsInteger="1" minValue="0" maxValue="3" count="4">
        <n v="1"/>
        <n v="0"/>
        <n v="2"/>
        <n v="3"/>
      </sharedItems>
    </cacheField>
    <cacheField name="Has_AKM" numFmtId="0">
      <sharedItems containsSemiMixedTypes="0" containsString="0" containsNumber="1" containsInteger="1" minValue="0" maxValue="1"/>
    </cacheField>
    <cacheField name="Has_Probe" numFmtId="0">
      <sharedItems containsSemiMixedTypes="0" containsString="0" containsNumber="1" containsInteger="1" minValue="0" maxValue="1"/>
    </cacheField>
    <cacheField name="Has_Cruise" numFmtId="0">
      <sharedItems containsSemiMixedTypes="0" containsString="0" containsNumber="1" containsInteger="1" minValue="0" maxValue="1"/>
    </cacheField>
    <cacheField name="Has_Aeroshield" numFmtId="0">
      <sharedItems containsSemiMixedTypes="0" containsString="0" containsNumber="1" containsInteger="1" minValue="0" maxValue="1"/>
    </cacheField>
    <cacheField name="Has_Ballast" numFmtId="0">
      <sharedItems containsSemiMixedTypes="0" containsString="0" containsNumber="1" containsInteger="1" minValue="0" maxValue="1"/>
    </cacheField>
    <cacheField name="Has_Lander" numFmtId="0">
      <sharedItems containsSemiMixedTypes="0" containsString="0" containsNumber="1" containsInteger="1" minValue="0" maxValue="1"/>
    </cacheField>
    <cacheField name="Num_Deployments" numFmtId="0">
      <sharedItems containsSemiMixedTypes="0" containsString="0" containsNumber="1" containsInteger="1" minValue="0" maxValue="7"/>
    </cacheField>
    <cacheField name="Num_Instruments" numFmtId="0">
      <sharedItems containsSemiMixedTypes="0" containsString="0" containsNumber="1" containsInteger="1" minValue="1" maxValue="12"/>
    </cacheField>
    <cacheField name="Num_Objectives" numFmtId="0">
      <sharedItems containsSemiMixedTypes="0" containsString="0" containsNumber="1" containsInteger="1" minValue="3" maxValue="9"/>
    </cacheField>
    <cacheField name="Launch_Mass_kg" numFmtId="0">
      <sharedItems containsSemiMixedTypes="0" containsString="0" containsNumber="1" minValue="296.39999999999998" maxValue="5712"/>
    </cacheField>
    <cacheField name="Dry_Mass_kg" numFmtId="0">
      <sharedItems containsSemiMixedTypes="0" containsString="0" containsNumber="1" minValue="158.69999999999999" maxValue="3300"/>
    </cacheField>
    <cacheField name="Fuel_Mass_kg" numFmtId="0">
      <sharedItems containsSemiMixedTypes="0" containsString="0" containsNumber="1" minValue="70" maxValue="3132"/>
    </cacheField>
    <cacheField name="Instrument_Mass_kg" numFmtId="0">
      <sharedItems containsSemiMixedTypes="0" containsString="0" containsNumber="1" minValue="12.26" maxValue="899"/>
    </cacheField>
    <cacheField name="Fuel_Fraction_Pct" numFmtId="0">
      <sharedItems containsSemiMixedTypes="0" containsString="0" containsNumber="1" minValue="9.0299999999999994" maxValue="67.03"/>
    </cacheField>
    <cacheField name="Instrument_Mass_Fraction_Pct" numFmtId="0">
      <sharedItems containsSemiMixedTypes="0" containsString="0" containsNumber="1" minValue="2.48" maxValue="32.83"/>
    </cacheField>
    <cacheField name="Power_Source" numFmtId="0">
      <sharedItems count="2">
        <s v="SA"/>
        <s v="RTG"/>
      </sharedItems>
    </cacheField>
    <cacheField name="BOL_Power_W" numFmtId="0">
      <sharedItems containsSemiMixedTypes="0" containsString="0" containsNumber="1" containsInteger="1" minValue="125" maxValue="26400"/>
    </cacheField>
    <cacheField name="BOM_Power_W" numFmtId="0">
      <sharedItems containsString="0" containsBlank="1" containsNumber="1" containsInteger="1" minValue="125" maxValue="3000"/>
    </cacheField>
    <cacheField name="Instrument_Power_W" numFmtId="0">
      <sharedItems containsSemiMixedTypes="0" containsString="0" containsNumber="1" containsInteger="1" minValue="5" maxValue="228"/>
    </cacheField>
    <cacheField name="Power_Degradation_Pct" numFmtId="0">
      <sharedItems containsString="0" containsBlank="1" containsNumber="1" minValue="-21.62" maxValue="96.43"/>
    </cacheField>
    <cacheField name="Instrument_Power_Fraction_Pct" numFmtId="0">
      <sharedItems containsString="0" containsBlank="1" containsNumber="1" minValue="1.92" maxValue="100"/>
    </cacheField>
    <cacheField name="Composite_Risk_Score" numFmtId="0">
      <sharedItems containsSemiMixedTypes="0" containsString="0" containsNumber="1" minValue="0" maxValue="8"/>
    </cacheField>
    <cacheField name="Mission_Duration_Yrs" numFmtId="0">
      <sharedItems containsSemiMixedTypes="0" containsString="0" containsNumber="1" minValue="0" maxValue="24.03"/>
    </cacheField>
    <cacheField name="Failure Rate" numFmtId="0" formula="Is_Failure/ COUNT(Mission)" databaseField="0"/>
    <cacheField name="Field1" numFmtId="0" formula="'Failure Rate'" databaseField="0"/>
  </cacheFields>
  <extLst>
    <ext xmlns:x14="http://schemas.microsoft.com/office/spreadsheetml/2009/9/main" uri="{725AE2AE-9491-48be-B2B4-4EB974FC3084}">
      <x14:pivotCacheDefinition pivotCacheId="1029483622"/>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ameron lewis" refreshedDate="46080.736505208333" createdVersion="8" refreshedVersion="8" minRefreshableVersion="3" recordCount="25" xr:uid="{C211862D-4412-4825-B124-171D33BD31F0}">
  <cacheSource type="worksheet">
    <worksheetSource ref="A1:AC26" sheet="cost_view"/>
  </cacheSource>
  <cacheFields count="29">
    <cacheField name="Mission" numFmtId="0">
      <sharedItems/>
    </cacheField>
    <cacheField name="Initiative" numFmtId="0">
      <sharedItems/>
    </cacheField>
    <cacheField name="Destination" numFmtId="0">
      <sharedItems count="9">
        <s v="Mars"/>
        <s v="Saturn"/>
        <s v="Comet"/>
        <s v="Asteroid"/>
        <s v="Jupiter"/>
        <s v="L1"/>
        <s v="Lunar"/>
        <s v="Mercury"/>
        <s v="Asteroid Belt"/>
      </sharedItems>
    </cacheField>
    <cacheField name="Mission_Type" numFmtId="0">
      <sharedItems/>
    </cacheField>
    <cacheField name="Fiscal_Year" numFmtId="0">
      <sharedItems containsSemiMixedTypes="0" containsString="0" containsNumber="1" containsInteger="1" minValue="1989" maxValue="2023"/>
    </cacheField>
    <cacheField name="Mission_Era" numFmtId="0">
      <sharedItems/>
    </cacheField>
    <cacheField name="Budget_Amount" numFmtId="0">
      <sharedItems containsSemiMixedTypes="0" containsString="0" containsNumber="1" minValue="61.3" maxValue="1436.4"/>
    </cacheField>
    <cacheField name="Actual_Cost" numFmtId="0">
      <sharedItems containsSemiMixedTypes="0" containsString="0" containsNumber="1" minValue="61.7" maxValue="2337.1"/>
    </cacheField>
    <cacheField name="Cost_Variance" numFmtId="0">
      <sharedItems containsSemiMixedTypes="0" containsString="0" containsNumber="1" minValue="-90.8" maxValue="1268.5999999999999"/>
    </cacheField>
    <cacheField name="Cost_Variance_Pct" numFmtId="0">
      <sharedItems containsSemiMixedTypes="0" containsString="0" containsNumber="1" minValue="-10.49" maxValue="299.66000000000003"/>
    </cacheField>
    <cacheField name="Budget_Status" numFmtId="0">
      <sharedItems/>
    </cacheField>
    <cacheField name="Total_Mission_Cost" numFmtId="0">
      <sharedItems containsSemiMixedTypes="0" containsString="0" containsNumber="1" minValue="125.2" maxValue="5916.8"/>
    </cacheField>
    <cacheField name="Total_Dev_Cost" numFmtId="0">
      <sharedItems containsSemiMixedTypes="0" containsString="0" containsNumber="1" minValue="60.2" maxValue="3218.2"/>
    </cacheField>
    <cacheField name="Total_Launch_Cost" numFmtId="0">
      <sharedItems containsSemiMixedTypes="0" containsString="0" containsNumber="1" minValue="51.1" maxValue="946"/>
    </cacheField>
    <cacheField name="Total_Ops_Cost" numFmtId="0">
      <sharedItems containsSemiMixedTypes="0" containsString="0" containsNumber="1" minValue="0" maxValue="1149.4000000000001"/>
    </cacheField>
    <cacheField name="Total_Extension_Cost" numFmtId="0">
      <sharedItems containsString="0" containsBlank="1" containsNumber="1" minValue="4.0999999999999996" maxValue="938.6"/>
    </cacheField>
    <cacheField name="Dev_Cost_Share_Pct" numFmtId="0">
      <sharedItems containsSemiMixedTypes="0" containsString="0" containsNumber="1" minValue="44.5" maxValue="77.8"/>
    </cacheField>
    <cacheField name="Launch_Cost_Share_Pct" numFmtId="0">
      <sharedItems containsSemiMixedTypes="0" containsString="0" containsNumber="1" minValue="6.1" maxValue="40.799999999999997"/>
    </cacheField>
    <cacheField name="Ops_Cost_Share_Pct" numFmtId="0">
      <sharedItems containsSemiMixedTypes="0" containsString="0" containsNumber="1" minValue="0" maxValue="30.1"/>
    </cacheField>
    <cacheField name="Extension_Cost_Share_Pct" numFmtId="0">
      <sharedItems containsString="0" containsBlank="1" containsNumber="1" minValue="1.8" maxValue="30.3"/>
    </cacheField>
    <cacheField name="Annual_Ops_Cost" numFmtId="0">
      <sharedItems containsString="0" containsBlank="1" containsNumber="1" minValue="3.19" maxValue="350.93"/>
    </cacheField>
    <cacheField name="Mission_Duration_Yrs" numFmtId="0">
      <sharedItems containsSemiMixedTypes="0" containsString="0" containsNumber="1" minValue="0" maxValue="24.03"/>
    </cacheField>
    <cacheField name="Total_Program_Yrs" numFmtId="0">
      <sharedItems containsSemiMixedTypes="0" containsString="0" containsNumber="1" minValue="3.42" maxValue="27.44"/>
    </cacheField>
    <cacheField name="Schedule_Variance_Months" numFmtId="0">
      <sharedItems containsSemiMixedTypes="0" containsString="0" containsNumber="1" containsInteger="1" minValue="-1" maxValue="74"/>
    </cacheField>
    <cacheField name="Schedule_Status" numFmtId="0">
      <sharedItems/>
    </cacheField>
    <cacheField name="Success" numFmtId="0">
      <sharedItems/>
    </cacheField>
    <cacheField name="Is_Success" numFmtId="0">
      <sharedItems containsSemiMixedTypes="0" containsString="0" containsNumber="1" containsInteger="1" minValue="0" maxValue="1"/>
    </cacheField>
    <cacheField name="Is_Failure" numFmtId="0">
      <sharedItems containsSemiMixedTypes="0" containsString="0" containsNumber="1" containsInteger="1" minValue="0" maxValue="1"/>
    </cacheField>
    <cacheField name="Is_Operational" numFmtId="0">
      <sharedItems containsSemiMixedTypes="0" containsString="0" containsNumber="1" containsInteger="1" minValue="0" maxValue="1"/>
    </cacheField>
  </cacheFields>
  <extLst>
    <ext xmlns:x14="http://schemas.microsoft.com/office/spreadsheetml/2009/9/main" uri="{725AE2AE-9491-48be-B2B4-4EB974FC3084}">
      <x14:pivotCacheDefinition pivotCacheId="80517359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
  <r>
    <s v="Galileo"/>
    <s v="Independent"/>
    <s v="Jupiter"/>
    <x v="0"/>
    <n v="1989"/>
    <n v="410.1"/>
    <n v="1639"/>
    <n v="1228.9000000000001"/>
    <n v="299.66000000000003"/>
    <s v="5 - Critical Overrun  (&gt;50%)"/>
    <n v="74"/>
    <s v="Significantly Delayed"/>
    <s v="Success"/>
    <n v="2"/>
  </r>
  <r>
    <s v="MSL - Curiosity"/>
    <s v="Flagship"/>
    <s v="Mars"/>
    <x v="1"/>
    <n v="2011"/>
    <n v="1068.5"/>
    <n v="2337.1"/>
    <n v="1268.5999999999999"/>
    <n v="118.73"/>
    <s v="5 - Critical Overrun  (&gt;50%)"/>
    <n v="25"/>
    <s v="Significantly Delayed"/>
    <s v="Operational"/>
    <n v="3"/>
  </r>
  <r>
    <s v="Juno"/>
    <s v="New Frontiers 2"/>
    <s v="Jupiter"/>
    <x v="0"/>
    <n v="2006"/>
    <n v="700"/>
    <n v="1114.0999999999999"/>
    <n v="414.1"/>
    <n v="59.16"/>
    <s v="5 - Critical Overrun  (&gt;50%)"/>
    <n v="26"/>
    <s v="Significantly Delayed"/>
    <s v="Success"/>
    <n v="0"/>
  </r>
  <r>
    <s v="Dawn"/>
    <s v="Discovery 9"/>
    <s v="Asteroid"/>
    <x v="0"/>
    <n v="2007"/>
    <n v="202.8"/>
    <n v="287.10000000000002"/>
    <n v="84.3"/>
    <n v="41.57"/>
    <s v="4 - Major Overrun     (20-50%)"/>
    <n v="16"/>
    <s v="Significantly Delayed"/>
    <s v="Success"/>
    <n v="0"/>
  </r>
  <r>
    <s v="Contour"/>
    <s v="Discovery 6"/>
    <s v="Comet"/>
    <x v="2"/>
    <n v="2002"/>
    <n v="69.099999999999994"/>
    <n v="96.8"/>
    <n v="27.7"/>
    <n v="40.090000000000003"/>
    <s v="4 - Major Overrun     (20-50%)"/>
    <n v="1"/>
    <s v="Slightly Delayed"/>
    <s v="Failure"/>
    <n v="1"/>
  </r>
  <r>
    <s v="2001 Mars Odyssey"/>
    <s v="Mars Surveyor"/>
    <s v="Mars"/>
    <x v="0"/>
    <n v="2001"/>
    <n v="267.2"/>
    <n v="366.1"/>
    <n v="98.9"/>
    <n v="37.01"/>
    <s v="4 - Major Overrun     (20-50%)"/>
    <n v="1"/>
    <s v="Slightly Delayed"/>
    <s v="Operational"/>
    <n v="1"/>
  </r>
  <r>
    <s v="Deep Space 1"/>
    <s v="New Millennium"/>
    <s v="Comet"/>
    <x v="2"/>
    <n v="1998"/>
    <n v="73.3"/>
    <n v="99.3"/>
    <n v="26"/>
    <n v="35.47"/>
    <s v="4 - Major Overrun     (20-50%)"/>
    <n v="0"/>
    <s v="On Schedule"/>
    <s v="Success"/>
    <n v="0"/>
  </r>
  <r>
    <s v="Mars Recon Orbiter"/>
    <s v="Independent"/>
    <s v="Mars"/>
    <x v="0"/>
    <n v="1999"/>
    <n v="334.4"/>
    <n v="450"/>
    <n v="115.6"/>
    <n v="34.57"/>
    <s v="4 - Major Overrun     (20-50%)"/>
    <n v="1"/>
    <s v="Slightly Delayed"/>
    <s v="Success"/>
    <n v="1"/>
  </r>
  <r>
    <s v="Genesis"/>
    <s v="Discovery 5"/>
    <s v="L1"/>
    <x v="3"/>
    <n v="2001"/>
    <n v="126.1"/>
    <n v="162.9"/>
    <n v="36.799999999999997"/>
    <n v="29.18"/>
    <s v="4 - Major Overrun     (20-50%)"/>
    <n v="9"/>
    <s v="Slightly Delayed"/>
    <s v="Success"/>
    <n v="1"/>
  </r>
  <r>
    <s v="Psyche"/>
    <s v="Discovery 14"/>
    <s v="Asteroid Belt"/>
    <x v="0"/>
    <n v="2023"/>
    <n v="925"/>
    <n v="1108.0999999999999"/>
    <n v="183.1"/>
    <n v="19.79"/>
    <s v="3 - Minor Overrun     (0-20%)"/>
    <n v="13"/>
    <s v="Significantly Delayed"/>
    <s v="Operational"/>
    <n v="0"/>
  </r>
  <r>
    <s v="Messenger"/>
    <s v="Discovery 7"/>
    <s v="Mercury"/>
    <x v="0"/>
    <n v="2004"/>
    <n v="326.2"/>
    <n v="390"/>
    <n v="63.8"/>
    <n v="19.559999999999999"/>
    <s v="3 - Minor Overrun     (0-20%)"/>
    <n v="6"/>
    <s v="Slightly Delayed"/>
    <s v="Success"/>
    <n v="0"/>
  </r>
  <r>
    <s v="Dart"/>
    <s v="Planetary Def"/>
    <s v="Asteroid"/>
    <x v="4"/>
    <n v="2021"/>
    <n v="219"/>
    <n v="258.3"/>
    <n v="39.299999999999997"/>
    <n v="17.95"/>
    <s v="3 - Minor Overrun     (0-20%)"/>
    <n v="6"/>
    <s v="Slightly Delayed"/>
    <s v="Success"/>
    <n v="0"/>
  </r>
  <r>
    <s v="Mars Observer"/>
    <s v="Independent"/>
    <s v="Mars"/>
    <x v="0"/>
    <n v="1992"/>
    <n v="458.6"/>
    <n v="511.2"/>
    <n v="52.6"/>
    <n v="11.47"/>
    <s v="3 - Minor Overrun     (0-20%)"/>
    <n v="0"/>
    <s v="On Schedule"/>
    <s v="Failure"/>
    <n v="1"/>
  </r>
  <r>
    <s v="Stardust"/>
    <s v="Discovery 4"/>
    <s v="Comet"/>
    <x v="3"/>
    <n v="1999"/>
    <n v="117.8"/>
    <n v="126.4"/>
    <n v="8.6"/>
    <n v="7.3"/>
    <s v="3 - Minor Overrun     (0-20%)"/>
    <n v="0"/>
    <s v="On Schedule"/>
    <s v="Success"/>
    <n v="1"/>
  </r>
  <r>
    <s v="Ladee"/>
    <s v="Independent"/>
    <s v="Lunar"/>
    <x v="0"/>
    <n v="2013"/>
    <n v="262.89999999999998"/>
    <n v="279.2"/>
    <n v="16.3"/>
    <n v="6.2"/>
    <s v="3 - Minor Overrun     (0-20%)"/>
    <n v="12"/>
    <s v="Slightly Delayed"/>
    <s v="Success"/>
    <n v="0"/>
  </r>
  <r>
    <s v="Grail-A"/>
    <s v="Discovery 11A"/>
    <s v="Lunar"/>
    <x v="0"/>
    <n v="2011"/>
    <n v="213.5"/>
    <n v="224.35"/>
    <n v="10.85"/>
    <n v="5.08"/>
    <s v="3 - Minor Overrun     (0-20%)"/>
    <n v="2"/>
    <s v="Slightly Delayed"/>
    <s v="Success"/>
    <n v="0"/>
  </r>
  <r>
    <s v="Grail-B"/>
    <s v="Discovery 11B"/>
    <s v="Lunar"/>
    <x v="0"/>
    <n v="2011"/>
    <n v="213.5"/>
    <n v="224.35"/>
    <n v="10.85"/>
    <n v="5.08"/>
    <s v="3 - Minor Overrun     (0-20%)"/>
    <n v="2"/>
    <s v="Slightly Delayed"/>
    <s v="Success"/>
    <n v="0"/>
  </r>
  <r>
    <s v="Lucy"/>
    <s v="Discovery 13"/>
    <s v="Jupiter"/>
    <x v="2"/>
    <n v="2021"/>
    <n v="990"/>
    <n v="999.2"/>
    <n v="9.1999999999999993"/>
    <n v="0.93"/>
    <s v="3 - Minor Overrun     (0-20%)"/>
    <n v="0"/>
    <s v="On Schedule"/>
    <s v="Operational"/>
    <n v="0"/>
  </r>
  <r>
    <s v="Lunar Prospector"/>
    <s v="Discovery 3"/>
    <s v="Lunar"/>
    <x v="0"/>
    <n v="1998"/>
    <n v="61.3"/>
    <n v="61.7"/>
    <n v="0.4"/>
    <n v="0.65"/>
    <s v="3 - Minor Overrun     (0-20%)"/>
    <n v="4"/>
    <s v="Slightly Delayed"/>
    <s v="Success"/>
    <n v="0"/>
  </r>
  <r>
    <s v="Mars Climate Orbiter"/>
    <s v="MPLMCO 1 of 2"/>
    <s v="Mars"/>
    <x v="0"/>
    <n v="1999"/>
    <n v="183.6"/>
    <n v="183.25"/>
    <n v="-0.35"/>
    <n v="-0.19"/>
    <s v="1 - Under Budget"/>
    <n v="0"/>
    <s v="On Schedule"/>
    <s v="Failure"/>
    <n v="0"/>
  </r>
  <r>
    <s v="MAVEN"/>
    <s v="Scout 2"/>
    <s v="Mars"/>
    <x v="0"/>
    <n v="2013"/>
    <n v="567.20000000000005"/>
    <n v="551.1"/>
    <n v="-16.100000000000001"/>
    <n v="-2.84"/>
    <s v="1 - Under Budget"/>
    <n v="0"/>
    <s v="On Schedule"/>
    <s v="Operational"/>
    <n v="0"/>
  </r>
  <r>
    <s v="Cassini"/>
    <s v="Independent"/>
    <s v="Saturn"/>
    <x v="0"/>
    <n v="1992"/>
    <n v="1436.4"/>
    <n v="1375.9"/>
    <n v="-60.5"/>
    <n v="-4.21"/>
    <s v="1 - Under Budget"/>
    <n v="18"/>
    <s v="Significantly Delayed"/>
    <s v="Success"/>
    <n v="1"/>
  </r>
  <r>
    <s v="Mars Global Surveyor"/>
    <s v="Independent"/>
    <s v="Mars"/>
    <x v="0"/>
    <n v="1996"/>
    <n v="140.19999999999999"/>
    <n v="130.69999999999999"/>
    <n v="-9.5"/>
    <n v="-6.78"/>
    <s v="1 - Under Budget"/>
    <n v="-1"/>
    <s v="Ahead of Schedule"/>
    <s v="Success"/>
    <n v="1"/>
  </r>
  <r>
    <s v="NEAR Shoemaker"/>
    <s v="Discovery 1"/>
    <s v="Asteroid"/>
    <x v="0"/>
    <n v="1996"/>
    <n v="249.4"/>
    <n v="230.8"/>
    <n v="-18.600000000000001"/>
    <n v="-7.46"/>
    <s v="1 - Under Budget"/>
    <n v="-1"/>
    <s v="Ahead of Schedule"/>
    <s v="Success"/>
    <n v="0"/>
  </r>
  <r>
    <s v="Osiris-Rex"/>
    <s v="New Frontiers 3"/>
    <s v="Asteroid"/>
    <x v="3"/>
    <n v="2016"/>
    <n v="865.9"/>
    <n v="775.1"/>
    <n v="-90.8"/>
    <n v="-10.49"/>
    <s v="1 - Under Budget"/>
    <n v="0"/>
    <s v="On Schedule"/>
    <s v="Operational"/>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
  <r>
    <s v="Galileo"/>
    <s v="Independent"/>
    <s v="Jupiter"/>
    <x v="0"/>
    <n v="1989"/>
    <x v="0"/>
    <n v="410.1"/>
    <n v="1639"/>
    <n v="3218.2"/>
    <n v="946"/>
    <n v="1005.1"/>
    <n v="154.4"/>
    <n v="5323.7"/>
    <n v="299.66000000000003"/>
    <n v="13.92"/>
  </r>
  <r>
    <s v="Cassini"/>
    <s v="Independent"/>
    <s v="Saturn"/>
    <x v="0"/>
    <n v="1992"/>
    <x v="0"/>
    <n v="1436.4"/>
    <n v="1375.9"/>
    <n v="3019.5"/>
    <n v="809.3"/>
    <n v="1149.4000000000001"/>
    <n v="938.6"/>
    <n v="5916.8"/>
    <n v="-4.21"/>
    <n v="19.920000000000002"/>
  </r>
  <r>
    <s v="Mars Observer"/>
    <s v="Independent"/>
    <s v="Mars"/>
    <x v="0"/>
    <n v="1992"/>
    <x v="0"/>
    <n v="458.6"/>
    <n v="511.2"/>
    <n v="1309.3"/>
    <n v="736.2"/>
    <n v="47.2"/>
    <m/>
    <n v="2092.6999999999998"/>
    <n v="11.47"/>
    <n v="0.9"/>
  </r>
  <r>
    <s v="Mars Global Surveyor"/>
    <s v="Independent"/>
    <s v="Mars"/>
    <x v="0"/>
    <n v="1996"/>
    <x v="0"/>
    <n v="140.19999999999999"/>
    <n v="130.69999999999999"/>
    <n v="263.89999999999998"/>
    <n v="105.2"/>
    <n v="138.19999999999999"/>
    <n v="72.3"/>
    <n v="579.6"/>
    <n v="-6.78"/>
    <n v="9.98"/>
  </r>
  <r>
    <s v="NEAR Shoemaker"/>
    <s v="Discovery 1"/>
    <s v="Asteroid"/>
    <x v="0"/>
    <n v="1996"/>
    <x v="0"/>
    <n v="249.4"/>
    <n v="230.8"/>
    <n v="257.89999999999998"/>
    <n v="90.9"/>
    <n v="114"/>
    <m/>
    <n v="462.8"/>
    <n v="-7.46"/>
    <n v="5.03"/>
  </r>
  <r>
    <s v="Deep Space 1"/>
    <s v="New Millennium"/>
    <s v="Comet"/>
    <x v="1"/>
    <n v="1998"/>
    <x v="0"/>
    <n v="73.3"/>
    <n v="99.3"/>
    <n v="221.2"/>
    <n v="87.3"/>
    <n v="13.5"/>
    <n v="24.6"/>
    <n v="346.6"/>
    <n v="35.47"/>
    <n v="3.15"/>
  </r>
  <r>
    <s v="Lunar Prospector"/>
    <s v="Discovery 3"/>
    <s v="Lunar"/>
    <x v="0"/>
    <n v="1998"/>
    <x v="0"/>
    <n v="61.3"/>
    <n v="61.7"/>
    <n v="60.2"/>
    <n v="51.1"/>
    <n v="9.8000000000000007"/>
    <n v="4.0999999999999996"/>
    <n v="125.2"/>
    <n v="0.65"/>
    <n v="1.56"/>
  </r>
  <r>
    <s v="Mars Climate Orbiter"/>
    <s v="MPLMCO 1 of 2"/>
    <s v="Mars"/>
    <x v="0"/>
    <n v="1999"/>
    <x v="0"/>
    <n v="183.6"/>
    <n v="183.25"/>
    <n v="183.25"/>
    <n v="87.3"/>
    <n v="15.05"/>
    <m/>
    <n v="285.60000000000002"/>
    <n v="-0.19"/>
    <n v="0.78"/>
  </r>
  <r>
    <s v="Mars Recon Orbiter"/>
    <s v="Independent"/>
    <s v="Mars"/>
    <x v="0"/>
    <n v="1999"/>
    <x v="0"/>
    <n v="334.4"/>
    <n v="450"/>
    <n v="681.6"/>
    <n v="142.1"/>
    <n v="243.8"/>
    <n v="463.9"/>
    <n v="1531.4"/>
    <n v="34.57"/>
    <n v="18.600000000000001"/>
  </r>
  <r>
    <s v="Stardust"/>
    <s v="Discovery 4"/>
    <s v="Comet"/>
    <x v="2"/>
    <n v="1999"/>
    <x v="0"/>
    <n v="117.8"/>
    <n v="126.4"/>
    <n v="244"/>
    <n v="78"/>
    <n v="54"/>
    <n v="51.6"/>
    <n v="427.6"/>
    <n v="7.3"/>
    <n v="12.12"/>
  </r>
  <r>
    <s v="2001 Mars Odyssey"/>
    <s v="Mars Surveyor"/>
    <s v="Mars"/>
    <x v="0"/>
    <n v="2001"/>
    <x v="1"/>
    <n v="267.2"/>
    <n v="366.1"/>
    <n v="677"/>
    <n v="99.7"/>
    <n v="78.8"/>
    <n v="260.7"/>
    <n v="1116.2"/>
    <n v="37.01"/>
    <n v="24.03"/>
  </r>
  <r>
    <s v="Genesis"/>
    <s v="Discovery 5"/>
    <s v="L1"/>
    <x v="2"/>
    <n v="2001"/>
    <x v="1"/>
    <n v="126.1"/>
    <n v="162.9"/>
    <n v="300.5"/>
    <n v="90.4"/>
    <n v="84.3"/>
    <m/>
    <n v="475.2"/>
    <n v="29.18"/>
    <n v="3.09"/>
  </r>
  <r>
    <s v="Contour"/>
    <s v="Discovery 6"/>
    <s v="Comet"/>
    <x v="1"/>
    <n v="2002"/>
    <x v="1"/>
    <n v="69.099999999999994"/>
    <n v="96.8"/>
    <n v="172"/>
    <n v="86.1"/>
    <n v="0"/>
    <m/>
    <n v="258.10000000000002"/>
    <n v="40.090000000000003"/>
    <n v="0"/>
  </r>
  <r>
    <s v="Messenger"/>
    <s v="Discovery 7"/>
    <s v="Mercury"/>
    <x v="0"/>
    <n v="2004"/>
    <x v="1"/>
    <n v="326.2"/>
    <n v="390"/>
    <n v="363.3"/>
    <n v="115.2"/>
    <n v="145.69999999999999"/>
    <n v="86.1"/>
    <n v="710.3"/>
    <n v="19.559999999999999"/>
    <n v="10.74"/>
  </r>
  <r>
    <s v="Juno"/>
    <s v="New Frontiers 2"/>
    <s v="Jupiter"/>
    <x v="0"/>
    <n v="2006"/>
    <x v="1"/>
    <n v="700"/>
    <n v="1114.0999999999999"/>
    <n v="995.9"/>
    <n v="254.1"/>
    <n v="208"/>
    <n v="211.8"/>
    <n v="1669.8"/>
    <n v="59.16"/>
    <n v="13.94"/>
  </r>
  <r>
    <s v="Dawn"/>
    <s v="Discovery 9"/>
    <s v="Asteroid"/>
    <x v="0"/>
    <n v="2007"/>
    <x v="1"/>
    <n v="202.8"/>
    <n v="287.10000000000002"/>
    <n v="444.7"/>
    <n v="137.4"/>
    <n v="139.69999999999999"/>
    <n v="27.9"/>
    <n v="749.7"/>
    <n v="41.57"/>
    <n v="11.1"/>
  </r>
  <r>
    <s v="Grail-A"/>
    <s v="Discovery 11A"/>
    <s v="Lunar"/>
    <x v="0"/>
    <n v="2011"/>
    <x v="2"/>
    <n v="213.5"/>
    <n v="224.35"/>
    <n v="200.4"/>
    <n v="101.95"/>
    <n v="12.4"/>
    <n v="12.4"/>
    <n v="327.2"/>
    <n v="5.08"/>
    <n v="1.27"/>
  </r>
  <r>
    <s v="Grail-B"/>
    <s v="Discovery 11B"/>
    <s v="Lunar"/>
    <x v="0"/>
    <n v="2011"/>
    <x v="2"/>
    <n v="213.5"/>
    <n v="224.35"/>
    <n v="200.4"/>
    <n v="101.95"/>
    <n v="12.4"/>
    <n v="12.4"/>
    <n v="327.2"/>
    <n v="5.08"/>
    <n v="1.27"/>
  </r>
  <r>
    <s v="MSL - Curiosity"/>
    <s v="Flagship"/>
    <s v="Mars"/>
    <x v="3"/>
    <n v="2011"/>
    <x v="2"/>
    <n v="1068.5"/>
    <n v="2337.1"/>
    <n v="3068.5"/>
    <n v="255.7"/>
    <n v="266.7"/>
    <n v="606.79999999999995"/>
    <n v="4197.7"/>
    <n v="118.73"/>
    <n v="12.31"/>
  </r>
  <r>
    <s v="Ladee"/>
    <s v="Independent"/>
    <s v="Lunar"/>
    <x v="0"/>
    <n v="2013"/>
    <x v="2"/>
    <n v="262.89999999999998"/>
    <n v="279.2"/>
    <n v="269.8"/>
    <n v="75.5"/>
    <n v="14"/>
    <n v="6.5"/>
    <n v="365.8"/>
    <n v="6.2"/>
    <n v="0.61"/>
  </r>
  <r>
    <s v="MAVEN"/>
    <s v="Scout 2"/>
    <s v="Mars"/>
    <x v="0"/>
    <n v="2013"/>
    <x v="2"/>
    <n v="567.20000000000005"/>
    <n v="551.1"/>
    <n v="499.5"/>
    <n v="218.1"/>
    <n v="33"/>
    <n v="191.9"/>
    <n v="942.5"/>
    <n v="-2.84"/>
    <n v="10.33"/>
  </r>
  <r>
    <s v="Osiris-Rex"/>
    <s v="New Frontiers 3"/>
    <s v="Asteroid"/>
    <x v="2"/>
    <n v="2016"/>
    <x v="2"/>
    <n v="865.9"/>
    <n v="775.1"/>
    <n v="747.5"/>
    <n v="224.5"/>
    <n v="275.39999999999998"/>
    <n v="103.3"/>
    <n v="1350.7"/>
    <n v="-10.49"/>
    <n v="7.52"/>
  </r>
  <r>
    <s v="Dart"/>
    <s v="Planetary Def"/>
    <s v="Asteroid"/>
    <x v="4"/>
    <n v="2021"/>
    <x v="3"/>
    <n v="219"/>
    <n v="258.3"/>
    <n v="274.8"/>
    <n v="76.3"/>
    <n v="23.7"/>
    <m/>
    <n v="374.8"/>
    <n v="17.95"/>
    <n v="0.84"/>
  </r>
  <r>
    <s v="Lucy"/>
    <s v="Discovery 13"/>
    <s v="Jupiter"/>
    <x v="1"/>
    <n v="2021"/>
    <x v="3"/>
    <n v="990"/>
    <n v="999.2"/>
    <n v="594.1"/>
    <n v="167.4"/>
    <n v="328.1"/>
    <m/>
    <n v="1089.5999999999999"/>
    <n v="0.93"/>
    <n v="3.5"/>
  </r>
  <r>
    <s v="Psyche"/>
    <s v="Discovery 14"/>
    <s v="Asteroid Belt"/>
    <x v="0"/>
    <n v="2023"/>
    <x v="3"/>
    <n v="925"/>
    <n v="1108.0999999999999"/>
    <n v="935.9"/>
    <n v="115.9"/>
    <n v="150.9"/>
    <m/>
    <n v="1202.7"/>
    <n v="19.79"/>
    <n v="0.4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
  <r>
    <s v="2001 Mars Odyssey"/>
    <x v="0"/>
    <x v="0"/>
    <s v="Orbiter"/>
    <s v="Delta 7925"/>
    <n v="2001"/>
    <x v="0"/>
    <x v="0"/>
    <x v="0"/>
    <x v="0"/>
    <n v="267.2"/>
    <n v="366.1"/>
    <n v="98.9"/>
    <x v="0"/>
    <s v="4 - Major Overrun     (20-50%)"/>
    <x v="0"/>
    <s v="Slightly Delayed"/>
    <n v="182"/>
    <n v="737"/>
    <x v="0"/>
    <n v="0"/>
    <n v="0"/>
    <n v="0"/>
    <n v="0"/>
    <n v="1"/>
    <n v="0"/>
    <n v="2"/>
    <n v="3"/>
    <n v="6"/>
    <n v="758"/>
    <n v="376.3"/>
    <n v="348.7"/>
    <n v="44.5"/>
    <n v="46"/>
    <n v="11.83"/>
    <x v="0"/>
    <n v="1500"/>
    <m/>
    <n v="58"/>
    <m/>
    <m/>
    <n v="3.67"/>
    <n v="24.03"/>
  </r>
  <r>
    <s v="Cassini"/>
    <x v="1"/>
    <x v="1"/>
    <s v="Orbiter"/>
    <s v="Titan 4"/>
    <n v="1992"/>
    <x v="1"/>
    <x v="1"/>
    <x v="0"/>
    <x v="1"/>
    <n v="1436.4"/>
    <n v="1375.9"/>
    <n v="-60.5"/>
    <x v="1"/>
    <s v="1 - Under Budget"/>
    <x v="1"/>
    <s v="Significantly Delayed"/>
    <n v="365"/>
    <n v="867"/>
    <x v="0"/>
    <n v="0"/>
    <n v="1"/>
    <n v="0"/>
    <n v="0"/>
    <n v="0"/>
    <n v="0"/>
    <n v="4"/>
    <n v="12"/>
    <n v="8"/>
    <n v="5712"/>
    <n v="2581"/>
    <n v="3132"/>
    <n v="236"/>
    <n v="54.83"/>
    <n v="9.14"/>
    <x v="1"/>
    <n v="900"/>
    <m/>
    <n v="228"/>
    <m/>
    <m/>
    <n v="2.67"/>
    <n v="19.920000000000002"/>
  </r>
  <r>
    <s v="Contour"/>
    <x v="2"/>
    <x v="2"/>
    <s v="Flyby"/>
    <s v="Delta 7425"/>
    <n v="2002"/>
    <x v="2"/>
    <x v="0"/>
    <x v="1"/>
    <x v="1"/>
    <n v="69.099999999999994"/>
    <n v="96.8"/>
    <n v="27.7"/>
    <x v="2"/>
    <s v="4 - Major Overrun     (20-50%)"/>
    <x v="0"/>
    <s v="Slightly Delayed"/>
    <n v="316"/>
    <n v="579"/>
    <x v="0"/>
    <n v="1"/>
    <n v="0"/>
    <n v="0"/>
    <n v="0"/>
    <n v="0"/>
    <n v="0"/>
    <n v="0"/>
    <n v="4"/>
    <n v="6"/>
    <n v="775"/>
    <n v="328"/>
    <n v="70"/>
    <n v="60.4"/>
    <n v="9.0299999999999994"/>
    <n v="18.41"/>
    <x v="0"/>
    <n v="670"/>
    <m/>
    <n v="100"/>
    <m/>
    <m/>
    <n v="3.67"/>
    <n v="0"/>
  </r>
  <r>
    <s v="Dart"/>
    <x v="3"/>
    <x v="3"/>
    <s v="Impact"/>
    <s v="Falcon 9"/>
    <n v="2021"/>
    <x v="1"/>
    <x v="1"/>
    <x v="0"/>
    <x v="1"/>
    <n v="219"/>
    <n v="258.3"/>
    <n v="39.299999999999997"/>
    <x v="3"/>
    <s v="3 - Minor Overrun     (0-20%)"/>
    <x v="2"/>
    <s v="Slightly Delayed"/>
    <n v="365"/>
    <n v="968"/>
    <x v="1"/>
    <n v="0"/>
    <n v="0"/>
    <n v="0"/>
    <n v="0"/>
    <n v="0"/>
    <n v="0"/>
    <n v="1"/>
    <n v="1"/>
    <n v="4"/>
    <n v="610"/>
    <n v="560"/>
    <n v="86.5"/>
    <n v="14"/>
    <n v="14.18"/>
    <n v="2.5"/>
    <x v="0"/>
    <n v="6600"/>
    <m/>
    <n v="5"/>
    <m/>
    <m/>
    <n v="2"/>
    <n v="0.84"/>
  </r>
  <r>
    <s v="Dawn"/>
    <x v="4"/>
    <x v="3"/>
    <s v="Orbiter"/>
    <s v="Delta 7925"/>
    <n v="2007"/>
    <x v="1"/>
    <x v="1"/>
    <x v="0"/>
    <x v="1"/>
    <n v="202.8"/>
    <n v="287.10000000000002"/>
    <n v="84.3"/>
    <x v="4"/>
    <s v="4 - Major Overrun     (20-50%)"/>
    <x v="3"/>
    <s v="Significantly Delayed"/>
    <n v="213"/>
    <n v="1244"/>
    <x v="1"/>
    <n v="0"/>
    <n v="0"/>
    <n v="0"/>
    <n v="0"/>
    <n v="0"/>
    <n v="0"/>
    <n v="3"/>
    <n v="3"/>
    <n v="5"/>
    <n v="1217.7"/>
    <n v="747.1"/>
    <n v="470.6"/>
    <n v="46.4"/>
    <n v="38.65"/>
    <n v="6.21"/>
    <x v="0"/>
    <n v="10300"/>
    <n v="1300"/>
    <n v="95"/>
    <n v="87.38"/>
    <n v="7.31"/>
    <n v="4"/>
    <n v="11.1"/>
  </r>
  <r>
    <s v="Deep Space 1"/>
    <x v="5"/>
    <x v="2"/>
    <s v="Flyby"/>
    <s v="Delta 7326"/>
    <n v="1998"/>
    <x v="1"/>
    <x v="1"/>
    <x v="0"/>
    <x v="1"/>
    <n v="73.3"/>
    <n v="99.3"/>
    <n v="26"/>
    <x v="5"/>
    <s v="4 - Major Overrun     (20-50%)"/>
    <x v="4"/>
    <s v="On Schedule"/>
    <m/>
    <m/>
    <x v="1"/>
    <n v="0"/>
    <n v="0"/>
    <n v="0"/>
    <n v="0"/>
    <n v="0"/>
    <n v="0"/>
    <n v="2"/>
    <n v="3"/>
    <n v="4"/>
    <n v="486.3"/>
    <n v="373.7"/>
    <n v="112.6"/>
    <n v="18.2"/>
    <n v="23.15"/>
    <n v="4.87"/>
    <x v="0"/>
    <n v="2500"/>
    <m/>
    <n v="22"/>
    <m/>
    <m/>
    <n v="2"/>
    <n v="3.15"/>
  </r>
  <r>
    <s v="Galileo"/>
    <x v="1"/>
    <x v="4"/>
    <s v="Orbiter"/>
    <s v="STS 34"/>
    <n v="1989"/>
    <x v="1"/>
    <x v="1"/>
    <x v="0"/>
    <x v="1"/>
    <n v="410.1"/>
    <n v="1639"/>
    <n v="1228.9000000000001"/>
    <x v="6"/>
    <s v="5 - Critical Overrun  (&gt;50%)"/>
    <x v="5"/>
    <s v="Significantly Delayed"/>
    <m/>
    <m/>
    <x v="2"/>
    <n v="0"/>
    <n v="1"/>
    <n v="0"/>
    <n v="0"/>
    <n v="1"/>
    <n v="0"/>
    <n v="4"/>
    <n v="12"/>
    <n v="9"/>
    <n v="2380"/>
    <n v="1289"/>
    <n v="925"/>
    <n v="112.1"/>
    <n v="38.869999999999997"/>
    <n v="8.6999999999999993"/>
    <x v="1"/>
    <n v="570"/>
    <n v="493"/>
    <n v="87"/>
    <n v="13.51"/>
    <n v="17.649999999999999"/>
    <n v="7.33"/>
    <n v="13.92"/>
  </r>
  <r>
    <s v="Genesis"/>
    <x v="6"/>
    <x v="5"/>
    <s v="Sample Return"/>
    <s v="Delta 7326"/>
    <n v="2001"/>
    <x v="1"/>
    <x v="1"/>
    <x v="0"/>
    <x v="1"/>
    <n v="126.1"/>
    <n v="162.9"/>
    <n v="36.799999999999997"/>
    <x v="7"/>
    <s v="4 - Major Overrun     (20-50%)"/>
    <x v="6"/>
    <s v="Slightly Delayed"/>
    <n v="365"/>
    <n v="766"/>
    <x v="0"/>
    <n v="0"/>
    <n v="1"/>
    <n v="0"/>
    <n v="0"/>
    <n v="0"/>
    <n v="0"/>
    <n v="4"/>
    <n v="3"/>
    <n v="4"/>
    <n v="636"/>
    <n v="494"/>
    <n v="142"/>
    <n v="12.26"/>
    <n v="22.33"/>
    <n v="2.48"/>
    <x v="0"/>
    <n v="265"/>
    <m/>
    <n v="10"/>
    <m/>
    <m/>
    <n v="3.67"/>
    <n v="3.09"/>
  </r>
  <r>
    <s v="Grail-A"/>
    <x v="7"/>
    <x v="6"/>
    <s v="Orbiter"/>
    <s v="Delta 7920"/>
    <n v="2011"/>
    <x v="1"/>
    <x v="1"/>
    <x v="0"/>
    <x v="1"/>
    <n v="213.5"/>
    <n v="224.35"/>
    <n v="10.85"/>
    <x v="8"/>
    <s v="3 - Minor Overrun     (0-20%)"/>
    <x v="7"/>
    <s v="Slightly Delayed"/>
    <n v="366"/>
    <n v="667"/>
    <x v="1"/>
    <n v="0"/>
    <n v="0"/>
    <n v="0"/>
    <n v="0"/>
    <n v="0"/>
    <n v="0"/>
    <n v="2"/>
    <n v="2"/>
    <n v="6"/>
    <n v="306"/>
    <n v="198"/>
    <n v="108"/>
    <n v="65"/>
    <n v="35.29"/>
    <n v="32.83"/>
    <x v="0"/>
    <n v="700"/>
    <m/>
    <n v="191"/>
    <m/>
    <m/>
    <n v="2"/>
    <n v="1.27"/>
  </r>
  <r>
    <s v="Grail-B"/>
    <x v="8"/>
    <x v="6"/>
    <s v="Orbiter"/>
    <s v="Delta 7920"/>
    <n v="2011"/>
    <x v="1"/>
    <x v="1"/>
    <x v="0"/>
    <x v="1"/>
    <n v="213.5"/>
    <n v="224.35"/>
    <n v="10.85"/>
    <x v="8"/>
    <s v="3 - Minor Overrun     (0-20%)"/>
    <x v="7"/>
    <s v="Slightly Delayed"/>
    <n v="366"/>
    <n v="667"/>
    <x v="1"/>
    <n v="0"/>
    <n v="0"/>
    <n v="0"/>
    <n v="0"/>
    <n v="0"/>
    <n v="0"/>
    <n v="2"/>
    <n v="3"/>
    <n v="6"/>
    <n v="306"/>
    <n v="198"/>
    <n v="108"/>
    <n v="65"/>
    <n v="35.29"/>
    <n v="32.83"/>
    <x v="0"/>
    <n v="700"/>
    <m/>
    <n v="191"/>
    <m/>
    <m/>
    <n v="2"/>
    <n v="1.27"/>
  </r>
  <r>
    <s v="Juno"/>
    <x v="9"/>
    <x v="4"/>
    <s v="Orbiter"/>
    <s v="Atlas 5"/>
    <n v="2006"/>
    <x v="1"/>
    <x v="1"/>
    <x v="0"/>
    <x v="1"/>
    <n v="700"/>
    <n v="1114.0999999999999"/>
    <n v="414.1"/>
    <x v="9"/>
    <s v="5 - Critical Overrun  (&gt;50%)"/>
    <x v="8"/>
    <s v="Significantly Delayed"/>
    <n v="335"/>
    <n v="767"/>
    <x v="1"/>
    <n v="0"/>
    <n v="0"/>
    <n v="0"/>
    <n v="0"/>
    <n v="0"/>
    <n v="0"/>
    <n v="4"/>
    <n v="10"/>
    <n v="5"/>
    <n v="3625"/>
    <n v="1593"/>
    <n v="2032"/>
    <n v="154.86000000000001"/>
    <n v="56.06"/>
    <n v="9.7200000000000006"/>
    <x v="0"/>
    <n v="14000"/>
    <n v="500"/>
    <n v="124"/>
    <n v="96.43"/>
    <n v="24.8"/>
    <n v="6"/>
    <n v="13.94"/>
  </r>
  <r>
    <s v="Ladee"/>
    <x v="1"/>
    <x v="6"/>
    <s v="Orbiter"/>
    <s v="Minotaur V"/>
    <n v="2013"/>
    <x v="1"/>
    <x v="1"/>
    <x v="0"/>
    <x v="1"/>
    <n v="262.89999999999998"/>
    <n v="279.2"/>
    <n v="16.3"/>
    <x v="10"/>
    <s v="3 - Minor Overrun     (0-20%)"/>
    <x v="9"/>
    <s v="Slightly Delayed"/>
    <n v="270"/>
    <n v="841"/>
    <x v="1"/>
    <n v="0"/>
    <n v="0"/>
    <n v="0"/>
    <n v="0"/>
    <n v="0"/>
    <n v="0"/>
    <n v="0"/>
    <n v="4"/>
    <n v="4"/>
    <n v="375.5"/>
    <n v="240.7"/>
    <n v="134.80000000000001"/>
    <n v="49.7"/>
    <n v="35.9"/>
    <n v="20.65"/>
    <x v="0"/>
    <n v="295"/>
    <n v="295"/>
    <n v="195"/>
    <n v="0"/>
    <n v="66.099999999999994"/>
    <n v="2"/>
    <n v="0.61"/>
  </r>
  <r>
    <s v="Lucy"/>
    <x v="10"/>
    <x v="4"/>
    <s v="Flyby"/>
    <s v="Atlas 5"/>
    <n v="2021"/>
    <x v="0"/>
    <x v="0"/>
    <x v="0"/>
    <x v="0"/>
    <n v="990"/>
    <n v="999.2"/>
    <n v="9.1999999999999993"/>
    <x v="11"/>
    <s v="3 - Minor Overrun     (0-20%)"/>
    <x v="4"/>
    <s v="On Schedule"/>
    <n v="366"/>
    <n v="726"/>
    <x v="1"/>
    <n v="0"/>
    <n v="0"/>
    <n v="0"/>
    <n v="0"/>
    <n v="0"/>
    <n v="0"/>
    <n v="3"/>
    <n v="4"/>
    <n v="4"/>
    <n v="1550"/>
    <n v="821"/>
    <n v="729"/>
    <n v="61.66"/>
    <n v="47.03"/>
    <n v="7.51"/>
    <x v="0"/>
    <n v="26400"/>
    <m/>
    <n v="70"/>
    <m/>
    <m/>
    <n v="1"/>
    <n v="3.5"/>
  </r>
  <r>
    <s v="Lunar Prospector"/>
    <x v="11"/>
    <x v="6"/>
    <s v="Orbiter"/>
    <s v="Athena 2"/>
    <n v="1998"/>
    <x v="1"/>
    <x v="1"/>
    <x v="0"/>
    <x v="1"/>
    <n v="61.3"/>
    <n v="61.7"/>
    <n v="0.4"/>
    <x v="12"/>
    <s v="3 - Minor Overrun     (0-20%)"/>
    <x v="10"/>
    <s v="Slightly Delayed"/>
    <n v="183"/>
    <n v="828"/>
    <x v="1"/>
    <n v="0"/>
    <n v="0"/>
    <n v="0"/>
    <n v="0"/>
    <n v="0"/>
    <n v="0"/>
    <n v="3"/>
    <n v="5"/>
    <n v="6"/>
    <n v="296.39999999999998"/>
    <n v="158.69999999999999"/>
    <n v="137.69999999999999"/>
    <n v="23.7"/>
    <n v="46.46"/>
    <n v="14.93"/>
    <x v="0"/>
    <n v="200"/>
    <n v="186"/>
    <n v="17"/>
    <n v="7"/>
    <n v="9.14"/>
    <n v="2"/>
    <n v="1.56"/>
  </r>
  <r>
    <s v="Mars Climate Orbiter"/>
    <x v="12"/>
    <x v="0"/>
    <s v="Orbiter"/>
    <s v="Delta 7425"/>
    <n v="1999"/>
    <x v="2"/>
    <x v="0"/>
    <x v="1"/>
    <x v="1"/>
    <n v="183.6"/>
    <n v="183.25"/>
    <n v="-0.35"/>
    <x v="13"/>
    <s v="1 - Under Budget"/>
    <x v="4"/>
    <s v="On Schedule"/>
    <n v="306"/>
    <n v="709"/>
    <x v="1"/>
    <n v="0"/>
    <n v="0"/>
    <n v="0"/>
    <n v="0"/>
    <n v="0"/>
    <n v="0"/>
    <n v="1"/>
    <n v="2"/>
    <n v="6"/>
    <n v="629"/>
    <n v="338"/>
    <n v="291"/>
    <n v="44"/>
    <n v="46.26"/>
    <n v="13.02"/>
    <x v="0"/>
    <n v="1000"/>
    <n v="500"/>
    <n v="45"/>
    <n v="50"/>
    <n v="9"/>
    <n v="0"/>
    <n v="0.78"/>
  </r>
  <r>
    <s v="Mars Global Surveyor"/>
    <x v="1"/>
    <x v="0"/>
    <s v="Orbiter"/>
    <s v="Delta 7925"/>
    <n v="1996"/>
    <x v="1"/>
    <x v="1"/>
    <x v="0"/>
    <x v="1"/>
    <n v="140.19999999999999"/>
    <n v="130.69999999999999"/>
    <n v="-9.5"/>
    <x v="14"/>
    <s v="1 - Under Budget"/>
    <x v="11"/>
    <s v="Ahead of Schedule"/>
    <m/>
    <n v="280"/>
    <x v="0"/>
    <n v="0"/>
    <n v="0"/>
    <n v="0"/>
    <n v="0"/>
    <n v="1"/>
    <n v="0"/>
    <n v="4"/>
    <n v="6"/>
    <n v="8"/>
    <n v="1030.5"/>
    <n v="666.3"/>
    <n v="360.5"/>
    <n v="76.3"/>
    <n v="34.979999999999997"/>
    <n v="11.45"/>
    <x v="0"/>
    <n v="1980"/>
    <n v="940"/>
    <n v="77"/>
    <n v="52.53"/>
    <n v="8.19"/>
    <n v="0.67"/>
    <n v="9.98"/>
  </r>
  <r>
    <s v="Mars Observer"/>
    <x v="1"/>
    <x v="0"/>
    <s v="Orbiter"/>
    <s v="Titan 3"/>
    <n v="1992"/>
    <x v="2"/>
    <x v="0"/>
    <x v="1"/>
    <x v="1"/>
    <n v="458.6"/>
    <n v="511.2"/>
    <n v="52.6"/>
    <x v="15"/>
    <s v="3 - Minor Overrun     (0-20%)"/>
    <x v="4"/>
    <s v="On Schedule"/>
    <n v="-2892"/>
    <n v="725"/>
    <x v="0"/>
    <n v="0"/>
    <n v="0"/>
    <n v="0"/>
    <n v="0"/>
    <n v="1"/>
    <n v="0"/>
    <n v="4"/>
    <n v="8"/>
    <n v="6"/>
    <n v="2573"/>
    <n v="1028"/>
    <n v="1346"/>
    <n v="139.9"/>
    <n v="52.31"/>
    <n v="13.61"/>
    <x v="0"/>
    <n v="3400"/>
    <n v="1408"/>
    <n v="108"/>
    <n v="58.59"/>
    <n v="7.67"/>
    <n v="1.67"/>
    <n v="0.9"/>
  </r>
  <r>
    <s v="Mars Recon Orbiter"/>
    <x v="1"/>
    <x v="0"/>
    <s v="Orbiter"/>
    <s v="Atlas 5"/>
    <n v="1999"/>
    <x v="1"/>
    <x v="1"/>
    <x v="0"/>
    <x v="1"/>
    <n v="334.4"/>
    <n v="450"/>
    <n v="115.6"/>
    <x v="16"/>
    <s v="4 - Major Overrun     (20-50%)"/>
    <x v="0"/>
    <s v="Slightly Delayed"/>
    <n v="365"/>
    <n v="773"/>
    <x v="0"/>
    <n v="0"/>
    <n v="0"/>
    <n v="0"/>
    <n v="0"/>
    <n v="1"/>
    <n v="0"/>
    <n v="3"/>
    <n v="7"/>
    <n v="5"/>
    <n v="2180"/>
    <n v="1031"/>
    <n v="1149"/>
    <n v="139"/>
    <n v="52.71"/>
    <n v="13.48"/>
    <x v="0"/>
    <n v="6000"/>
    <n v="3000"/>
    <n v="189"/>
    <n v="50"/>
    <n v="6.3"/>
    <n v="3.67"/>
    <n v="18.600000000000001"/>
  </r>
  <r>
    <s v="MAVEN"/>
    <x v="13"/>
    <x v="0"/>
    <s v="Orbiter"/>
    <s v="Atlas 5"/>
    <n v="2013"/>
    <x v="0"/>
    <x v="0"/>
    <x v="0"/>
    <x v="0"/>
    <n v="567.20000000000005"/>
    <n v="551.1"/>
    <n v="-16.100000000000001"/>
    <x v="17"/>
    <s v="1 - Under Budget"/>
    <x v="4"/>
    <s v="On Schedule"/>
    <n v="379"/>
    <n v="857"/>
    <x v="1"/>
    <n v="0"/>
    <n v="0"/>
    <n v="0"/>
    <n v="0"/>
    <n v="0"/>
    <n v="0"/>
    <n v="3"/>
    <n v="8"/>
    <n v="5"/>
    <n v="2454"/>
    <n v="809"/>
    <n v="1645"/>
    <n v="71.5"/>
    <n v="67.03"/>
    <n v="8.84"/>
    <x v="0"/>
    <n v="3400"/>
    <n v="1700"/>
    <n v="90"/>
    <n v="50"/>
    <n v="5.29"/>
    <n v="0"/>
    <n v="10.33"/>
  </r>
  <r>
    <s v="Messenger"/>
    <x v="14"/>
    <x v="7"/>
    <s v="Orbiter"/>
    <s v="Delta 7925"/>
    <n v="2004"/>
    <x v="1"/>
    <x v="1"/>
    <x v="0"/>
    <x v="1"/>
    <n v="326.2"/>
    <n v="390"/>
    <n v="63.8"/>
    <x v="18"/>
    <s v="3 - Minor Overrun     (0-20%)"/>
    <x v="2"/>
    <s v="Slightly Delayed"/>
    <n v="302"/>
    <n v="865"/>
    <x v="1"/>
    <n v="0"/>
    <n v="0"/>
    <n v="0"/>
    <n v="0"/>
    <n v="0"/>
    <n v="0"/>
    <n v="3"/>
    <n v="7"/>
    <n v="6"/>
    <n v="1108"/>
    <n v="485.2"/>
    <n v="607.79999999999995"/>
    <n v="42.4"/>
    <n v="54.86"/>
    <n v="8.74"/>
    <x v="0"/>
    <n v="370"/>
    <n v="450"/>
    <n v="68"/>
    <n v="-21.62"/>
    <n v="15.11"/>
    <n v="2"/>
    <n v="10.74"/>
  </r>
  <r>
    <s v="MSL - Curiosity"/>
    <x v="15"/>
    <x v="0"/>
    <s v="Rover"/>
    <s v="Atlas 5"/>
    <n v="2011"/>
    <x v="0"/>
    <x v="0"/>
    <x v="0"/>
    <x v="0"/>
    <n v="1068.5"/>
    <n v="2337.1"/>
    <n v="1268.5999999999999"/>
    <x v="19"/>
    <s v="5 - Critical Overrun  (&gt;50%)"/>
    <x v="12"/>
    <s v="Significantly Delayed"/>
    <n v="346"/>
    <n v="1639"/>
    <x v="3"/>
    <n v="0"/>
    <n v="0"/>
    <n v="1"/>
    <n v="1"/>
    <n v="0"/>
    <n v="1"/>
    <n v="7"/>
    <n v="10"/>
    <n v="8"/>
    <n v="3839"/>
    <n v="3300"/>
    <n v="539"/>
    <n v="899"/>
    <n v="14.04"/>
    <n v="27.24"/>
    <x v="1"/>
    <n v="125"/>
    <n v="125"/>
    <n v="125"/>
    <n v="0"/>
    <n v="100"/>
    <n v="8"/>
    <n v="12.31"/>
  </r>
  <r>
    <s v="NEAR Shoemaker"/>
    <x v="16"/>
    <x v="3"/>
    <s v="Orbiter"/>
    <s v="Delta 7925"/>
    <n v="1996"/>
    <x v="1"/>
    <x v="1"/>
    <x v="0"/>
    <x v="1"/>
    <n v="249.4"/>
    <n v="230.8"/>
    <n v="-18.600000000000001"/>
    <x v="20"/>
    <s v="1 - Under Budget"/>
    <x v="11"/>
    <s v="Ahead of Schedule"/>
    <n v="214"/>
    <n v="473"/>
    <x v="1"/>
    <n v="0"/>
    <n v="0"/>
    <n v="0"/>
    <n v="0"/>
    <n v="0"/>
    <n v="0"/>
    <n v="4"/>
    <n v="6"/>
    <n v="3"/>
    <n v="818"/>
    <n v="487"/>
    <n v="318"/>
    <n v="56.25"/>
    <n v="38.880000000000003"/>
    <n v="11.55"/>
    <x v="0"/>
    <n v="1800"/>
    <n v="400"/>
    <n v="53"/>
    <n v="77.78"/>
    <n v="13.25"/>
    <n v="0"/>
    <n v="5.03"/>
  </r>
  <r>
    <s v="Osiris-Rex"/>
    <x v="17"/>
    <x v="3"/>
    <s v="Sample Return"/>
    <s v="Atlas 5"/>
    <n v="2016"/>
    <x v="0"/>
    <x v="0"/>
    <x v="0"/>
    <x v="0"/>
    <n v="865.9"/>
    <n v="775.1"/>
    <n v="-90.8"/>
    <x v="21"/>
    <s v="1 - Under Budget"/>
    <x v="4"/>
    <s v="On Schedule"/>
    <n v="396"/>
    <n v="891"/>
    <x v="1"/>
    <n v="0"/>
    <n v="0"/>
    <n v="0"/>
    <n v="0"/>
    <n v="0"/>
    <n v="0"/>
    <n v="3"/>
    <n v="6"/>
    <n v="5"/>
    <n v="1955"/>
    <n v="860"/>
    <n v="1095"/>
    <n v="110"/>
    <n v="56.01"/>
    <n v="12.79"/>
    <x v="0"/>
    <n v="3000"/>
    <n v="1226"/>
    <n v="122"/>
    <n v="59.13"/>
    <n v="9.9499999999999993"/>
    <n v="0"/>
    <n v="7.52"/>
  </r>
  <r>
    <s v="Psyche"/>
    <x v="18"/>
    <x v="8"/>
    <s v="Orbiter"/>
    <s v="Falcon Heavy"/>
    <n v="2023"/>
    <x v="0"/>
    <x v="0"/>
    <x v="0"/>
    <x v="0"/>
    <n v="925"/>
    <n v="1108.0999999999999"/>
    <n v="183.1"/>
    <x v="22"/>
    <s v="3 - Minor Overrun     (0-20%)"/>
    <x v="13"/>
    <s v="Significantly Delayed"/>
    <n v="1877"/>
    <n v="-190"/>
    <x v="1"/>
    <n v="0"/>
    <n v="0"/>
    <n v="0"/>
    <n v="0"/>
    <n v="0"/>
    <n v="0"/>
    <n v="4"/>
    <n v="3"/>
    <n v="5"/>
    <n v="2800"/>
    <n v="1400"/>
    <n v="1064"/>
    <n v="70"/>
    <n v="38"/>
    <n v="5"/>
    <x v="0"/>
    <n v="19200"/>
    <n v="2400"/>
    <n v="46"/>
    <n v="87.5"/>
    <n v="1.92"/>
    <n v="3"/>
    <n v="0.43"/>
  </r>
  <r>
    <s v="Stardust"/>
    <x v="19"/>
    <x v="2"/>
    <s v="Sample Return"/>
    <s v="Delta 7426"/>
    <n v="1999"/>
    <x v="1"/>
    <x v="1"/>
    <x v="0"/>
    <x v="1"/>
    <n v="117.8"/>
    <n v="126.4"/>
    <n v="8.6"/>
    <x v="23"/>
    <s v="3 - Minor Overrun     (0-20%)"/>
    <x v="4"/>
    <s v="On Schedule"/>
    <n v="273"/>
    <n v="616"/>
    <x v="0"/>
    <n v="0"/>
    <n v="1"/>
    <n v="0"/>
    <n v="0"/>
    <n v="0"/>
    <n v="0"/>
    <n v="5"/>
    <n v="5"/>
    <n v="3"/>
    <n v="385"/>
    <n v="300"/>
    <n v="85"/>
    <n v="24.16"/>
    <n v="22.08"/>
    <n v="8.0500000000000007"/>
    <x v="0"/>
    <n v="800"/>
    <n v="170"/>
    <n v="35"/>
    <n v="78.75"/>
    <n v="20.59"/>
    <n v="1.67"/>
    <n v="12.1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
  <r>
    <s v="2001 Mars Odyssey"/>
    <s v="Mars Surveyor"/>
    <x v="0"/>
    <s v="Orbiter"/>
    <n v="2001"/>
    <s v="2000s"/>
    <n v="267.2"/>
    <n v="366.1"/>
    <n v="98.9"/>
    <n v="37.01"/>
    <s v="4 - Major Overrun     (20-50%)"/>
    <n v="1116.2"/>
    <n v="677"/>
    <n v="99.7"/>
    <n v="78.8"/>
    <n v="260.7"/>
    <n v="60.7"/>
    <n v="8.9"/>
    <n v="7.1"/>
    <n v="23.4"/>
    <n v="3.28"/>
    <n v="24.03"/>
    <n v="27.44"/>
    <n v="1"/>
    <s v="Slightly Delayed"/>
    <s v="Operational"/>
    <n v="0"/>
    <n v="0"/>
    <n v="1"/>
  </r>
  <r>
    <s v="Cassini"/>
    <s v="Independent"/>
    <x v="1"/>
    <s v="Orbiter"/>
    <n v="1992"/>
    <s v="1990s"/>
    <n v="1436.4"/>
    <n v="1375.9"/>
    <n v="-60.5"/>
    <n v="-4.21"/>
    <s v="1 - Under Budget"/>
    <n v="5916.8"/>
    <n v="3019.5"/>
    <n v="809.3"/>
    <n v="1149.4000000000001"/>
    <n v="938.6"/>
    <n v="51"/>
    <n v="13.7"/>
    <n v="19.399999999999999"/>
    <n v="15.9"/>
    <n v="57.7"/>
    <n v="19.920000000000002"/>
    <n v="26.29"/>
    <n v="18"/>
    <s v="Significantly Delayed"/>
    <s v="Success"/>
    <n v="1"/>
    <n v="0"/>
    <n v="0"/>
  </r>
  <r>
    <s v="Contour"/>
    <s v="Discovery 6"/>
    <x v="2"/>
    <s v="Flyby"/>
    <n v="2002"/>
    <s v="2000s"/>
    <n v="69.099999999999994"/>
    <n v="96.8"/>
    <n v="27.7"/>
    <n v="40.090000000000003"/>
    <s v="4 - Major Overrun     (20-50%)"/>
    <n v="258.10000000000002"/>
    <n v="172"/>
    <n v="86.1"/>
    <n v="0"/>
    <m/>
    <n v="66.599999999999994"/>
    <n v="33.4"/>
    <n v="0"/>
    <m/>
    <m/>
    <n v="0"/>
    <n v="3.42"/>
    <n v="1"/>
    <s v="Slightly Delayed"/>
    <s v="Failure"/>
    <n v="0"/>
    <n v="1"/>
    <n v="0"/>
  </r>
  <r>
    <s v="Dart"/>
    <s v="Planetary Def"/>
    <x v="3"/>
    <s v="Impact"/>
    <n v="2021"/>
    <s v="2020s"/>
    <n v="219"/>
    <n v="258.3"/>
    <n v="39.299999999999997"/>
    <n v="17.95"/>
    <s v="3 - Minor Overrun     (0-20%)"/>
    <n v="374.8"/>
    <n v="274.8"/>
    <n v="76.3"/>
    <n v="23.7"/>
    <m/>
    <n v="73.3"/>
    <n v="20.399999999999999"/>
    <n v="6.3"/>
    <m/>
    <n v="28.21"/>
    <n v="0.84"/>
    <n v="5.57"/>
    <n v="6"/>
    <s v="Slightly Delayed"/>
    <s v="Success"/>
    <n v="1"/>
    <n v="0"/>
    <n v="0"/>
  </r>
  <r>
    <s v="Dawn"/>
    <s v="Discovery 9"/>
    <x v="3"/>
    <s v="Orbiter"/>
    <n v="2007"/>
    <s v="2000s"/>
    <n v="202.8"/>
    <n v="287.10000000000002"/>
    <n v="84.3"/>
    <n v="41.57"/>
    <s v="4 - Major Overrun     (20-50%)"/>
    <n v="749.7"/>
    <n v="444.7"/>
    <n v="137.4"/>
    <n v="139.69999999999999"/>
    <n v="27.9"/>
    <n v="59.3"/>
    <n v="18.3"/>
    <n v="18.600000000000001"/>
    <n v="3.7"/>
    <n v="12.59"/>
    <n v="11.1"/>
    <n v="16.170000000000002"/>
    <n v="16"/>
    <s v="Significantly Delayed"/>
    <s v="Success"/>
    <n v="1"/>
    <n v="0"/>
    <n v="0"/>
  </r>
  <r>
    <s v="Deep Space 1"/>
    <s v="New Millennium"/>
    <x v="2"/>
    <s v="Flyby"/>
    <n v="1998"/>
    <s v="1990s"/>
    <n v="73.3"/>
    <n v="99.3"/>
    <n v="26"/>
    <n v="35.47"/>
    <s v="4 - Major Overrun     (20-50%)"/>
    <n v="346.6"/>
    <n v="221.2"/>
    <n v="87.3"/>
    <n v="13.5"/>
    <n v="24.6"/>
    <n v="63.8"/>
    <n v="25.2"/>
    <n v="3.9"/>
    <n v="7.1"/>
    <n v="4.29"/>
    <n v="3.15"/>
    <n v="6.21"/>
    <n v="0"/>
    <s v="On Schedule"/>
    <s v="Success"/>
    <n v="1"/>
    <n v="0"/>
    <n v="0"/>
  </r>
  <r>
    <s v="Galileo"/>
    <s v="Independent"/>
    <x v="4"/>
    <s v="Orbiter"/>
    <n v="1989"/>
    <s v="1990s"/>
    <n v="410.1"/>
    <n v="1639"/>
    <n v="1228.9000000000001"/>
    <n v="299.66000000000003"/>
    <s v="5 - Critical Overrun  (&gt;50%)"/>
    <n v="5323.7"/>
    <n v="3218.2"/>
    <n v="946"/>
    <n v="1005.1"/>
    <n v="154.4"/>
    <n v="60.5"/>
    <n v="17.8"/>
    <n v="18.899999999999999"/>
    <n v="2.9"/>
    <n v="72.209999999999994"/>
    <n v="13.92"/>
    <n v="25.97"/>
    <n v="74"/>
    <s v="Significantly Delayed"/>
    <s v="Success"/>
    <n v="1"/>
    <n v="0"/>
    <n v="0"/>
  </r>
  <r>
    <s v="Genesis"/>
    <s v="Discovery 5"/>
    <x v="5"/>
    <s v="Sample Return"/>
    <n v="2001"/>
    <s v="2000s"/>
    <n v="126.1"/>
    <n v="162.9"/>
    <n v="36.799999999999997"/>
    <n v="29.18"/>
    <s v="4 - Major Overrun     (20-50%)"/>
    <n v="475.2"/>
    <n v="300.5"/>
    <n v="90.4"/>
    <n v="84.3"/>
    <m/>
    <n v="63.2"/>
    <n v="19"/>
    <n v="17.7"/>
    <m/>
    <n v="27.28"/>
    <n v="3.09"/>
    <n v="6.77"/>
    <n v="9"/>
    <s v="Slightly Delayed"/>
    <s v="Success"/>
    <n v="1"/>
    <n v="0"/>
    <n v="0"/>
  </r>
  <r>
    <s v="Grail-A"/>
    <s v="Discovery 11A"/>
    <x v="6"/>
    <s v="Orbiter"/>
    <n v="2011"/>
    <s v="2010s"/>
    <n v="213.5"/>
    <n v="224.35"/>
    <n v="10.85"/>
    <n v="5.08"/>
    <s v="3 - Minor Overrun     (0-20%)"/>
    <n v="327.2"/>
    <n v="200.4"/>
    <n v="101.95"/>
    <n v="12.4"/>
    <n v="12.4"/>
    <n v="61.2"/>
    <n v="31.2"/>
    <n v="3.8"/>
    <n v="3.8"/>
    <n v="9.76"/>
    <n v="1.27"/>
    <n v="4.92"/>
    <n v="2"/>
    <s v="Slightly Delayed"/>
    <s v="Success"/>
    <n v="1"/>
    <n v="0"/>
    <n v="0"/>
  </r>
  <r>
    <s v="Grail-B"/>
    <s v="Discovery 11B"/>
    <x v="6"/>
    <s v="Orbiter"/>
    <n v="2011"/>
    <s v="2010s"/>
    <n v="213.5"/>
    <n v="224.35"/>
    <n v="10.85"/>
    <n v="5.08"/>
    <s v="3 - Minor Overrun     (0-20%)"/>
    <n v="327.2"/>
    <n v="200.4"/>
    <n v="101.95"/>
    <n v="12.4"/>
    <n v="12.4"/>
    <n v="61.2"/>
    <n v="31.2"/>
    <n v="3.8"/>
    <n v="3.8"/>
    <n v="9.76"/>
    <n v="1.27"/>
    <n v="4.92"/>
    <n v="2"/>
    <s v="Slightly Delayed"/>
    <s v="Success"/>
    <n v="1"/>
    <n v="0"/>
    <n v="0"/>
  </r>
  <r>
    <s v="Juno"/>
    <s v="New Frontiers 2"/>
    <x v="4"/>
    <s v="Orbiter"/>
    <n v="2006"/>
    <s v="2000s"/>
    <n v="700"/>
    <n v="1114.0999999999999"/>
    <n v="414.1"/>
    <n v="59.16"/>
    <s v="5 - Critical Overrun  (&gt;50%)"/>
    <n v="1669.8"/>
    <n v="995.9"/>
    <n v="254.1"/>
    <n v="208"/>
    <n v="211.8"/>
    <n v="59.6"/>
    <n v="15.2"/>
    <n v="12.5"/>
    <n v="12.7"/>
    <n v="14.92"/>
    <n v="13.94"/>
    <n v="19.96"/>
    <n v="26"/>
    <s v="Significantly Delayed"/>
    <s v="Success"/>
    <n v="1"/>
    <n v="0"/>
    <n v="0"/>
  </r>
  <r>
    <s v="Ladee"/>
    <s v="Independent"/>
    <x v="6"/>
    <s v="Orbiter"/>
    <n v="2013"/>
    <s v="2010s"/>
    <n v="262.89999999999998"/>
    <n v="279.2"/>
    <n v="16.3"/>
    <n v="6.2"/>
    <s v="3 - Minor Overrun     (0-20%)"/>
    <n v="365.8"/>
    <n v="269.8"/>
    <n v="75.5"/>
    <n v="14"/>
    <n v="6.5"/>
    <n v="73.8"/>
    <n v="20.6"/>
    <n v="3.8"/>
    <n v="1.8"/>
    <n v="22.95"/>
    <n v="0.61"/>
    <n v="6.05"/>
    <n v="12"/>
    <s v="Slightly Delayed"/>
    <s v="Success"/>
    <n v="1"/>
    <n v="0"/>
    <n v="0"/>
  </r>
  <r>
    <s v="Lucy"/>
    <s v="Discovery 13"/>
    <x v="4"/>
    <s v="Flyby"/>
    <n v="2021"/>
    <s v="2020s"/>
    <n v="990"/>
    <n v="999.2"/>
    <n v="9.1999999999999993"/>
    <n v="0.93"/>
    <s v="3 - Minor Overrun     (0-20%)"/>
    <n v="1089.5999999999999"/>
    <n v="594.1"/>
    <n v="167.4"/>
    <n v="328.1"/>
    <m/>
    <n v="54.5"/>
    <n v="15.4"/>
    <n v="30.1"/>
    <m/>
    <n v="93.74"/>
    <n v="3.5"/>
    <n v="8.2799999999999994"/>
    <n v="0"/>
    <s v="On Schedule"/>
    <s v="Operational"/>
    <n v="0"/>
    <n v="0"/>
    <n v="1"/>
  </r>
  <r>
    <s v="Lunar Prospector"/>
    <s v="Discovery 3"/>
    <x v="6"/>
    <s v="Orbiter"/>
    <n v="1998"/>
    <s v="1990s"/>
    <n v="61.3"/>
    <n v="61.7"/>
    <n v="0.4"/>
    <n v="0.65"/>
    <s v="3 - Minor Overrun     (0-20%)"/>
    <n v="125.2"/>
    <n v="60.2"/>
    <n v="51.1"/>
    <n v="9.8000000000000007"/>
    <n v="4.0999999999999996"/>
    <n v="48.1"/>
    <n v="40.799999999999997"/>
    <n v="7.8"/>
    <n v="3.3"/>
    <n v="6.28"/>
    <n v="1.56"/>
    <n v="4.42"/>
    <n v="4"/>
    <s v="Slightly Delayed"/>
    <s v="Success"/>
    <n v="1"/>
    <n v="0"/>
    <n v="0"/>
  </r>
  <r>
    <s v="Mars Climate Orbiter"/>
    <s v="MPLMCO 1 of 2"/>
    <x v="0"/>
    <s v="Orbiter"/>
    <n v="1999"/>
    <s v="1990s"/>
    <n v="183.6"/>
    <n v="183.25"/>
    <n v="-0.35"/>
    <n v="-0.19"/>
    <s v="1 - Under Budget"/>
    <n v="285.60000000000002"/>
    <n v="183.25"/>
    <n v="87.3"/>
    <n v="15.05"/>
    <m/>
    <n v="64.2"/>
    <n v="30.6"/>
    <n v="5.3"/>
    <m/>
    <n v="19.29"/>
    <n v="0.78"/>
    <n v="3.89"/>
    <n v="0"/>
    <s v="On Schedule"/>
    <s v="Failure"/>
    <n v="0"/>
    <n v="1"/>
    <n v="0"/>
  </r>
  <r>
    <s v="Mars Global Surveyor"/>
    <s v="Independent"/>
    <x v="0"/>
    <s v="Orbiter"/>
    <n v="1996"/>
    <s v="1990s"/>
    <n v="140.19999999999999"/>
    <n v="130.69999999999999"/>
    <n v="-9.5"/>
    <n v="-6.78"/>
    <s v="1 - Under Budget"/>
    <n v="579.6"/>
    <n v="263.89999999999998"/>
    <n v="105.2"/>
    <n v="138.19999999999999"/>
    <n v="72.3"/>
    <n v="45.5"/>
    <n v="18.2"/>
    <n v="23.8"/>
    <n v="12.5"/>
    <n v="13.85"/>
    <n v="9.98"/>
    <n v="12.09"/>
    <n v="-1"/>
    <s v="Ahead of Schedule"/>
    <s v="Success"/>
    <n v="1"/>
    <n v="0"/>
    <n v="0"/>
  </r>
  <r>
    <s v="Mars Observer"/>
    <s v="Independent"/>
    <x v="0"/>
    <s v="Orbiter"/>
    <n v="1992"/>
    <s v="1990s"/>
    <n v="458.6"/>
    <n v="511.2"/>
    <n v="52.6"/>
    <n v="11.47"/>
    <s v="3 - Minor Overrun     (0-20%)"/>
    <n v="2092.6999999999998"/>
    <n v="1309.3"/>
    <n v="736.2"/>
    <n v="47.2"/>
    <m/>
    <n v="62.6"/>
    <n v="35.200000000000003"/>
    <n v="2.2999999999999998"/>
    <m/>
    <n v="52.44"/>
    <n v="0.9"/>
    <n v="4.97"/>
    <n v="0"/>
    <s v="On Schedule"/>
    <s v="Failure"/>
    <n v="0"/>
    <n v="1"/>
    <n v="0"/>
  </r>
  <r>
    <s v="Mars Recon Orbiter"/>
    <s v="Independent"/>
    <x v="0"/>
    <s v="Orbiter"/>
    <n v="1999"/>
    <s v="1990s"/>
    <n v="334.4"/>
    <n v="450"/>
    <n v="115.6"/>
    <n v="34.57"/>
    <s v="4 - Major Overrun     (20-50%)"/>
    <n v="1531.4"/>
    <n v="681.6"/>
    <n v="142.1"/>
    <n v="243.8"/>
    <n v="463.9"/>
    <n v="44.5"/>
    <n v="9.3000000000000007"/>
    <n v="15.9"/>
    <n v="30.3"/>
    <n v="13.11"/>
    <n v="18.600000000000001"/>
    <n v="22.45"/>
    <n v="1"/>
    <s v="Slightly Delayed"/>
    <s v="Success"/>
    <n v="1"/>
    <n v="0"/>
    <n v="0"/>
  </r>
  <r>
    <s v="MAVEN"/>
    <s v="Scout 2"/>
    <x v="0"/>
    <s v="Orbiter"/>
    <n v="2013"/>
    <s v="2010s"/>
    <n v="567.20000000000005"/>
    <n v="551.1"/>
    <n v="-16.100000000000001"/>
    <n v="-2.84"/>
    <s v="1 - Under Budget"/>
    <n v="942.5"/>
    <n v="499.5"/>
    <n v="218.1"/>
    <n v="33"/>
    <n v="191.9"/>
    <n v="53"/>
    <n v="23.1"/>
    <n v="3.5"/>
    <n v="20.399999999999999"/>
    <n v="3.19"/>
    <n v="10.33"/>
    <n v="15.5"/>
    <n v="0"/>
    <s v="On Schedule"/>
    <s v="Operational"/>
    <n v="0"/>
    <n v="0"/>
    <n v="1"/>
  </r>
  <r>
    <s v="Messenger"/>
    <s v="Discovery 7"/>
    <x v="7"/>
    <s v="Orbiter"/>
    <n v="2004"/>
    <s v="2000s"/>
    <n v="326.2"/>
    <n v="390"/>
    <n v="63.8"/>
    <n v="19.559999999999999"/>
    <s v="3 - Minor Overrun     (0-20%)"/>
    <n v="710.3"/>
    <n v="363.3"/>
    <n v="115.2"/>
    <n v="145.69999999999999"/>
    <n v="86.1"/>
    <n v="51.1"/>
    <n v="16.2"/>
    <n v="20.5"/>
    <n v="12.1"/>
    <n v="13.57"/>
    <n v="10.74"/>
    <n v="15.33"/>
    <n v="6"/>
    <s v="Slightly Delayed"/>
    <s v="Success"/>
    <n v="1"/>
    <n v="0"/>
    <n v="0"/>
  </r>
  <r>
    <s v="MSL - Curiosity"/>
    <s v="Flagship"/>
    <x v="0"/>
    <s v="Rover"/>
    <n v="2011"/>
    <s v="2010s"/>
    <n v="1068.5"/>
    <n v="2337.1"/>
    <n v="1268.5999999999999"/>
    <n v="118.73"/>
    <s v="5 - Critical Overrun  (&gt;50%)"/>
    <n v="4197.7"/>
    <n v="3068.5"/>
    <n v="255.7"/>
    <n v="266.7"/>
    <n v="606.79999999999995"/>
    <n v="73.099999999999994"/>
    <n v="6.1"/>
    <n v="6.4"/>
    <n v="14.5"/>
    <n v="21.67"/>
    <n v="12.31"/>
    <n v="18.29"/>
    <n v="25"/>
    <s v="Significantly Delayed"/>
    <s v="Operational"/>
    <n v="0"/>
    <n v="0"/>
    <n v="1"/>
  </r>
  <r>
    <s v="NEAR Shoemaker"/>
    <s v="Discovery 1"/>
    <x v="3"/>
    <s v="Orbiter"/>
    <n v="1996"/>
    <s v="1990s"/>
    <n v="249.4"/>
    <n v="230.8"/>
    <n v="-18.600000000000001"/>
    <n v="-7.46"/>
    <s v="1 - Under Budget"/>
    <n v="462.8"/>
    <n v="257.89999999999998"/>
    <n v="90.9"/>
    <n v="114"/>
    <m/>
    <n v="55.7"/>
    <n v="19.600000000000001"/>
    <n v="24.6"/>
    <m/>
    <n v="22.66"/>
    <n v="5.03"/>
    <n v="7.16"/>
    <n v="-1"/>
    <s v="Ahead of Schedule"/>
    <s v="Success"/>
    <n v="1"/>
    <n v="0"/>
    <n v="0"/>
  </r>
  <r>
    <s v="Osiris-Rex"/>
    <s v="New Frontiers 3"/>
    <x v="3"/>
    <s v="Sample Return"/>
    <n v="2016"/>
    <s v="2010s"/>
    <n v="865.9"/>
    <n v="775.1"/>
    <n v="-90.8"/>
    <n v="-10.49"/>
    <s v="1 - Under Budget"/>
    <n v="1350.7"/>
    <n v="747.5"/>
    <n v="224.5"/>
    <n v="275.39999999999998"/>
    <n v="103.3"/>
    <n v="55.3"/>
    <n v="16.600000000000001"/>
    <n v="20.399999999999999"/>
    <n v="7.6"/>
    <n v="36.619999999999997"/>
    <n v="7.52"/>
    <n v="11.88"/>
    <n v="0"/>
    <s v="On Schedule"/>
    <s v="Operational"/>
    <n v="0"/>
    <n v="0"/>
    <n v="1"/>
  </r>
  <r>
    <s v="Psyche"/>
    <s v="Discovery 14"/>
    <x v="8"/>
    <s v="Orbiter"/>
    <n v="2023"/>
    <s v="2020s"/>
    <n v="925"/>
    <n v="1108.0999999999999"/>
    <n v="183.1"/>
    <n v="19.79"/>
    <s v="3 - Minor Overrun     (0-20%)"/>
    <n v="1202.7"/>
    <n v="935.9"/>
    <n v="115.9"/>
    <n v="150.9"/>
    <m/>
    <n v="77.8"/>
    <n v="9.6"/>
    <n v="12.5"/>
    <m/>
    <n v="350.93"/>
    <n v="0.43"/>
    <n v="5.88"/>
    <n v="13"/>
    <s v="Significantly Delayed"/>
    <s v="Operational"/>
    <n v="0"/>
    <n v="0"/>
    <n v="1"/>
  </r>
  <r>
    <s v="Stardust"/>
    <s v="Discovery 4"/>
    <x v="2"/>
    <s v="Sample Return"/>
    <n v="1999"/>
    <s v="1990s"/>
    <n v="117.8"/>
    <n v="126.4"/>
    <n v="8.6"/>
    <n v="7.3"/>
    <s v="3 - Minor Overrun     (0-20%)"/>
    <n v="427.6"/>
    <n v="244"/>
    <n v="78"/>
    <n v="54"/>
    <n v="51.6"/>
    <n v="57.1"/>
    <n v="18.2"/>
    <n v="12.6"/>
    <n v="12.1"/>
    <n v="4.46"/>
    <n v="12.12"/>
    <n v="14.48"/>
    <n v="0"/>
    <s v="On Schedule"/>
    <s v="Success"/>
    <n v="1"/>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B8D650F-C463-4E25-9EC3-E7F42B2FF04E}" name="PivotTable7"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B81:F92" firstHeaderRow="1" firstDataRow="2" firstDataCol="1"/>
  <pivotFields count="45">
    <pivotField dataField="1" showAll="0"/>
    <pivotField showAll="0"/>
    <pivotField axis="axisRow" showAll="0" sortType="ascending">
      <items count="10">
        <item x="3"/>
        <item x="8"/>
        <item x="2"/>
        <item x="4"/>
        <item x="5"/>
        <item x="6"/>
        <item x="0"/>
        <item x="7"/>
        <item x="1"/>
        <item t="default"/>
      </items>
    </pivotField>
    <pivotField showAll="0"/>
    <pivotField showAll="0"/>
    <pivotField showAll="0"/>
    <pivotField axis="axisCol" showAll="0" sortType="descending">
      <items count="4">
        <item x="1"/>
        <item x="0"/>
        <item x="2"/>
        <item t="default"/>
      </items>
    </pivotField>
    <pivotField showAll="0">
      <items count="3">
        <item x="0"/>
        <item x="1"/>
        <item t="default"/>
      </items>
    </pivotField>
    <pivotField showAll="0">
      <items count="3">
        <item x="0"/>
        <item x="1"/>
        <item t="default"/>
      </items>
    </pivotField>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s>
  <rowFields count="1">
    <field x="2"/>
  </rowFields>
  <rowItems count="10">
    <i>
      <x/>
    </i>
    <i>
      <x v="1"/>
    </i>
    <i>
      <x v="2"/>
    </i>
    <i>
      <x v="3"/>
    </i>
    <i>
      <x v="4"/>
    </i>
    <i>
      <x v="5"/>
    </i>
    <i>
      <x v="6"/>
    </i>
    <i>
      <x v="7"/>
    </i>
    <i>
      <x v="8"/>
    </i>
    <i t="grand">
      <x/>
    </i>
  </rowItems>
  <colFields count="1">
    <field x="6"/>
  </colFields>
  <colItems count="4">
    <i>
      <x/>
    </i>
    <i>
      <x v="1"/>
    </i>
    <i>
      <x v="2"/>
    </i>
    <i t="grand">
      <x/>
    </i>
  </colItems>
  <dataFields count="1">
    <dataField name="Count of Mission" fld="0" subtotal="count" baseField="0" baseItem="0"/>
  </dataFields>
  <chartFormats count="9">
    <chartFormat chart="2" format="3" series="1">
      <pivotArea type="data" outline="0" fieldPosition="0">
        <references count="2">
          <reference field="4294967294" count="1" selected="0">
            <x v="0"/>
          </reference>
          <reference field="6" count="1" selected="0">
            <x v="0"/>
          </reference>
        </references>
      </pivotArea>
    </chartFormat>
    <chartFormat chart="2" format="4" series="1">
      <pivotArea type="data" outline="0" fieldPosition="0">
        <references count="2">
          <reference field="4294967294" count="1" selected="0">
            <x v="0"/>
          </reference>
          <reference field="6" count="1" selected="0">
            <x v="1"/>
          </reference>
        </references>
      </pivotArea>
    </chartFormat>
    <chartFormat chart="2" format="5" series="1">
      <pivotArea type="data" outline="0" fieldPosition="0">
        <references count="2">
          <reference field="4294967294" count="1" selected="0">
            <x v="0"/>
          </reference>
          <reference field="6" count="1" selected="0">
            <x v="2"/>
          </reference>
        </references>
      </pivotArea>
    </chartFormat>
    <chartFormat chart="3" format="6" series="1">
      <pivotArea type="data" outline="0" fieldPosition="0">
        <references count="2">
          <reference field="4294967294" count="1" selected="0">
            <x v="0"/>
          </reference>
          <reference field="6" count="1" selected="0">
            <x v="0"/>
          </reference>
        </references>
      </pivotArea>
    </chartFormat>
    <chartFormat chart="3" format="7" series="1">
      <pivotArea type="data" outline="0" fieldPosition="0">
        <references count="2">
          <reference field="4294967294" count="1" selected="0">
            <x v="0"/>
          </reference>
          <reference field="6" count="1" selected="0">
            <x v="1"/>
          </reference>
        </references>
      </pivotArea>
    </chartFormat>
    <chartFormat chart="3" format="8" series="1">
      <pivotArea type="data" outline="0" fieldPosition="0">
        <references count="2">
          <reference field="4294967294" count="1" selected="0">
            <x v="0"/>
          </reference>
          <reference field="6" count="1" selected="0">
            <x v="2"/>
          </reference>
        </references>
      </pivotArea>
    </chartFormat>
    <chartFormat chart="0" format="15" series="1">
      <pivotArea type="data" outline="0" fieldPosition="0">
        <references count="2">
          <reference field="4294967294" count="1" selected="0">
            <x v="0"/>
          </reference>
          <reference field="6" count="1" selected="0">
            <x v="0"/>
          </reference>
        </references>
      </pivotArea>
    </chartFormat>
    <chartFormat chart="0" format="16" series="1">
      <pivotArea type="data" outline="0" fieldPosition="0">
        <references count="2">
          <reference field="4294967294" count="1" selected="0">
            <x v="0"/>
          </reference>
          <reference field="6" count="1" selected="0">
            <x v="1"/>
          </reference>
        </references>
      </pivotArea>
    </chartFormat>
    <chartFormat chart="0" format="17" series="1">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3602768-239C-4BF1-B076-F79CC7D0B969}"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B3:F9" firstHeaderRow="0" firstDataRow="1" firstDataCol="1"/>
  <pivotFields count="14">
    <pivotField showAll="0"/>
    <pivotField showAll="0"/>
    <pivotField showAll="0"/>
    <pivotField axis="axisRow" showAll="0">
      <items count="6">
        <item x="2"/>
        <item x="4"/>
        <item x="0"/>
        <item x="1"/>
        <item x="3"/>
        <item t="default"/>
      </items>
    </pivotField>
    <pivotField showAll="0"/>
    <pivotField dataField="1" showAll="0"/>
    <pivotField dataField="1" showAll="0"/>
    <pivotField dataField="1" showAll="0"/>
    <pivotField dataField="1" showAll="0"/>
    <pivotField showAll="0"/>
    <pivotField showAll="0"/>
    <pivotField showAll="0"/>
    <pivotField showAll="0"/>
    <pivotField showAll="0"/>
  </pivotFields>
  <rowFields count="1">
    <field x="3"/>
  </rowFields>
  <rowItems count="6">
    <i>
      <x/>
    </i>
    <i>
      <x v="1"/>
    </i>
    <i>
      <x v="2"/>
    </i>
    <i>
      <x v="3"/>
    </i>
    <i>
      <x v="4"/>
    </i>
    <i t="grand">
      <x/>
    </i>
  </rowItems>
  <colFields count="1">
    <field x="-2"/>
  </colFields>
  <colItems count="4">
    <i>
      <x/>
    </i>
    <i i="1">
      <x v="1"/>
    </i>
    <i i="2">
      <x v="2"/>
    </i>
    <i i="3">
      <x v="3"/>
    </i>
  </colItems>
  <dataFields count="4">
    <dataField name="Sum of Planned_Budget" fld="5" baseField="0" baseItem="0"/>
    <dataField name="Sum of Actual_Cost" fld="6" baseField="0" baseItem="0"/>
    <dataField name="Sum of Variance_Amount" fld="7" baseField="0" baseItem="0"/>
    <dataField name="Average of Variance_Pct" fld="8" subtotal="average" baseField="3" baseItem="0" numFmtId="2"/>
  </dataFields>
  <chartFormats count="10">
    <chartFormat chart="4" format="10" series="1">
      <pivotArea type="data" outline="0" fieldPosition="0">
        <references count="1">
          <reference field="4294967294" count="1" selected="0">
            <x v="0"/>
          </reference>
        </references>
      </pivotArea>
    </chartFormat>
    <chartFormat chart="4" format="11" series="1">
      <pivotArea type="data" outline="0" fieldPosition="0">
        <references count="1">
          <reference field="4294967294" count="1" selected="0">
            <x v="1"/>
          </reference>
        </references>
      </pivotArea>
    </chartFormat>
    <chartFormat chart="4" format="12">
      <pivotArea type="data" outline="0" fieldPosition="0">
        <references count="2">
          <reference field="4294967294" count="1" selected="0">
            <x v="1"/>
          </reference>
          <reference field="3" count="1" selected="0">
            <x v="3"/>
          </reference>
        </references>
      </pivotArea>
    </chartFormat>
    <chartFormat chart="4" format="13" series="1">
      <pivotArea type="data" outline="0" fieldPosition="0">
        <references count="1">
          <reference field="4294967294" count="1" selected="0">
            <x v="2"/>
          </reference>
        </references>
      </pivotArea>
    </chartFormat>
    <chartFormat chart="4" format="14" series="1">
      <pivotArea type="data" outline="0" fieldPosition="0">
        <references count="1">
          <reference field="4294967294" count="1" selected="0">
            <x v="3"/>
          </reference>
        </references>
      </pivotArea>
    </chartFormat>
    <chartFormat chart="0" format="25" series="1">
      <pivotArea type="data" outline="0" fieldPosition="0">
        <references count="1">
          <reference field="4294967294" count="1" selected="0">
            <x v="0"/>
          </reference>
        </references>
      </pivotArea>
    </chartFormat>
    <chartFormat chart="0" format="26" series="1">
      <pivotArea type="data" outline="0" fieldPosition="0">
        <references count="1">
          <reference field="4294967294" count="1" selected="0">
            <x v="1"/>
          </reference>
        </references>
      </pivotArea>
    </chartFormat>
    <chartFormat chart="0" format="27">
      <pivotArea type="data" outline="0" fieldPosition="0">
        <references count="2">
          <reference field="4294967294" count="1" selected="0">
            <x v="1"/>
          </reference>
          <reference field="3" count="1" selected="0">
            <x v="3"/>
          </reference>
        </references>
      </pivotArea>
    </chartFormat>
    <chartFormat chart="0" format="28" series="1">
      <pivotArea type="data" outline="0" fieldPosition="0">
        <references count="1">
          <reference field="4294967294" count="1" selected="0">
            <x v="2"/>
          </reference>
        </references>
      </pivotArea>
    </chartFormat>
    <chartFormat chart="0" format="29"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EA5A34-4B58-4ED5-9843-C2E8C8D2DC2C}" name="PivotTable6"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56:E77" firstHeaderRow="0" firstDataRow="1" firstDataCol="1" rowPageCount="1" colPageCount="1"/>
  <pivotFields count="45">
    <pivotField dataField="1" showAll="0"/>
    <pivotField axis="axisRow" showAll="0">
      <items count="21">
        <item x="16"/>
        <item x="7"/>
        <item x="8"/>
        <item x="10"/>
        <item x="18"/>
        <item x="11"/>
        <item x="19"/>
        <item x="6"/>
        <item x="2"/>
        <item x="14"/>
        <item x="4"/>
        <item x="15"/>
        <item x="1"/>
        <item x="0"/>
        <item x="12"/>
        <item x="9"/>
        <item x="17"/>
        <item x="5"/>
        <item x="3"/>
        <item x="13"/>
        <item t="default"/>
      </items>
    </pivotField>
    <pivotField showAll="0">
      <items count="10">
        <item x="3"/>
        <item x="8"/>
        <item x="2"/>
        <item x="4"/>
        <item x="5"/>
        <item x="6"/>
        <item x="0"/>
        <item x="7"/>
        <item x="1"/>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axis="axisPage" dataField="1" showAll="0">
      <items count="15">
        <item x="11"/>
        <item x="4"/>
        <item x="0"/>
        <item x="7"/>
        <item x="10"/>
        <item x="2"/>
        <item x="6"/>
        <item x="9"/>
        <item x="13"/>
        <item x="3"/>
        <item x="1"/>
        <item x="12"/>
        <item x="8"/>
        <item x="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s>
  <rowFields count="1">
    <field x="1"/>
  </rowFields>
  <rowItems count="21">
    <i>
      <x/>
    </i>
    <i>
      <x v="1"/>
    </i>
    <i>
      <x v="2"/>
    </i>
    <i>
      <x v="3"/>
    </i>
    <i>
      <x v="4"/>
    </i>
    <i>
      <x v="5"/>
    </i>
    <i>
      <x v="6"/>
    </i>
    <i>
      <x v="7"/>
    </i>
    <i>
      <x v="8"/>
    </i>
    <i>
      <x v="9"/>
    </i>
    <i>
      <x v="10"/>
    </i>
    <i>
      <x v="11"/>
    </i>
    <i>
      <x v="12"/>
    </i>
    <i>
      <x v="13"/>
    </i>
    <i>
      <x v="14"/>
    </i>
    <i>
      <x v="15"/>
    </i>
    <i>
      <x v="16"/>
    </i>
    <i>
      <x v="17"/>
    </i>
    <i>
      <x v="18"/>
    </i>
    <i>
      <x v="19"/>
    </i>
    <i t="grand">
      <x/>
    </i>
  </rowItems>
  <colFields count="1">
    <field x="-2"/>
  </colFields>
  <colItems count="3">
    <i>
      <x/>
    </i>
    <i i="1">
      <x v="1"/>
    </i>
    <i i="2">
      <x v="2"/>
    </i>
  </colItems>
  <pageFields count="1">
    <pageField fld="15" hier="-1"/>
  </pageFields>
  <dataFields count="3">
    <dataField name="Average of Schedule_Variance_Months" fld="15" subtotal="average" baseField="1" baseItem="0" numFmtId="2"/>
    <dataField name="Average of Cost_Variance_Pct" fld="13" subtotal="average" baseField="1" baseItem="0" numFmtId="166"/>
    <dataField name="Count of Mission"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7B6050D-1FE3-479B-B9BA-BCAA33044F09}" name="PivotTable5"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B42:F52" firstHeaderRow="0" firstDataRow="1" firstDataCol="1"/>
  <pivotFields count="29">
    <pivotField showAll="0"/>
    <pivotField showAll="0"/>
    <pivotField axis="axisRow" showAll="0">
      <items count="10">
        <item x="3"/>
        <item x="8"/>
        <item x="2"/>
        <item x="4"/>
        <item x="5"/>
        <item x="6"/>
        <item x="0"/>
        <item x="7"/>
        <item x="1"/>
        <item t="default"/>
      </items>
    </pivotField>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10">
    <i>
      <x/>
    </i>
    <i>
      <x v="1"/>
    </i>
    <i>
      <x v="2"/>
    </i>
    <i>
      <x v="3"/>
    </i>
    <i>
      <x v="4"/>
    </i>
    <i>
      <x v="5"/>
    </i>
    <i>
      <x v="6"/>
    </i>
    <i>
      <x v="7"/>
    </i>
    <i>
      <x v="8"/>
    </i>
    <i t="grand">
      <x/>
    </i>
  </rowItems>
  <colFields count="1">
    <field x="-2"/>
  </colFields>
  <colItems count="4">
    <i>
      <x/>
    </i>
    <i i="1">
      <x v="1"/>
    </i>
    <i i="2">
      <x v="2"/>
    </i>
    <i i="3">
      <x v="3"/>
    </i>
  </colItems>
  <dataFields count="4">
    <dataField name="Sum of Total_Dev_Cost" fld="12" baseField="0" baseItem="0"/>
    <dataField name="Sum of Total_Launch_Cost" fld="13" baseField="0" baseItem="0"/>
    <dataField name="Sum of Total_Ops_Cost" fld="14" baseField="0" baseItem="0"/>
    <dataField name="Sum of Total_Extension_Cost" fld="15" baseField="0" baseItem="0"/>
  </dataFields>
  <chartFormats count="8">
    <chartFormat chart="3" format="8" series="1">
      <pivotArea type="data" outline="0" fieldPosition="0">
        <references count="1">
          <reference field="4294967294" count="1" selected="0">
            <x v="0"/>
          </reference>
        </references>
      </pivotArea>
    </chartFormat>
    <chartFormat chart="3" format="9" series="1">
      <pivotArea type="data" outline="0" fieldPosition="0">
        <references count="1">
          <reference field="4294967294" count="1" selected="0">
            <x v="1"/>
          </reference>
        </references>
      </pivotArea>
    </chartFormat>
    <chartFormat chart="3" format="10" series="1">
      <pivotArea type="data" outline="0" fieldPosition="0">
        <references count="1">
          <reference field="4294967294" count="1" selected="0">
            <x v="2"/>
          </reference>
        </references>
      </pivotArea>
    </chartFormat>
    <chartFormat chart="3" format="11" series="1">
      <pivotArea type="data" outline="0" fieldPosition="0">
        <references count="1">
          <reference field="4294967294" count="1" selected="0">
            <x v="3"/>
          </reference>
        </references>
      </pivotArea>
    </chartFormat>
    <chartFormat chart="0" format="20" series="1">
      <pivotArea type="data" outline="0" fieldPosition="0">
        <references count="1">
          <reference field="4294967294" count="1" selected="0">
            <x v="0"/>
          </reference>
        </references>
      </pivotArea>
    </chartFormat>
    <chartFormat chart="0" format="21" series="1">
      <pivotArea type="data" outline="0" fieldPosition="0">
        <references count="1">
          <reference field="4294967294" count="1" selected="0">
            <x v="1"/>
          </reference>
        </references>
      </pivotArea>
    </chartFormat>
    <chartFormat chart="0" format="22" series="1">
      <pivotArea type="data" outline="0" fieldPosition="0">
        <references count="1">
          <reference field="4294967294" count="1" selected="0">
            <x v="2"/>
          </reference>
        </references>
      </pivotArea>
    </chartFormat>
    <chartFormat chart="0" format="23"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4B98C0-5C6E-4689-9178-B861F8CE49A3}" name="PivotTable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B29:E34" firstHeaderRow="0" firstDataRow="1" firstDataCol="1"/>
  <pivotFields count="45">
    <pivotField dataField="1" showAll="0"/>
    <pivotField showAll="0"/>
    <pivotField showAll="0">
      <items count="10">
        <item x="3"/>
        <item x="8"/>
        <item x="2"/>
        <item x="4"/>
        <item x="5"/>
        <item x="6"/>
        <item x="0"/>
        <item x="7"/>
        <item x="1"/>
        <item t="default"/>
      </items>
    </pivotField>
    <pivotField showAll="0"/>
    <pivotField showAll="0"/>
    <pivotField showAll="0"/>
    <pivotField showAll="0"/>
    <pivotField showAll="0"/>
    <pivotField dataField="1" showAll="0"/>
    <pivotField showAll="0"/>
    <pivotField showAll="0"/>
    <pivotField showAll="0"/>
    <pivotField showAll="0"/>
    <pivotField dataField="1" showAll="0"/>
    <pivotField showAll="0"/>
    <pivotField showAll="0"/>
    <pivotField showAll="0"/>
    <pivotField showAll="0"/>
    <pivotField showAll="0"/>
    <pivotField axis="axisRow" showAll="0">
      <items count="5">
        <item x="1"/>
        <item x="0"/>
        <item x="2"/>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s>
  <rowFields count="1">
    <field x="19"/>
  </rowFields>
  <rowItems count="5">
    <i>
      <x/>
    </i>
    <i>
      <x v="1"/>
    </i>
    <i>
      <x v="2"/>
    </i>
    <i>
      <x v="3"/>
    </i>
    <i t="grand">
      <x/>
    </i>
  </rowItems>
  <colFields count="1">
    <field x="-2"/>
  </colFields>
  <colItems count="3">
    <i>
      <x/>
    </i>
    <i i="1">
      <x v="1"/>
    </i>
    <i i="2">
      <x v="2"/>
    </i>
  </colItems>
  <dataFields count="3">
    <dataField name="Sum of Is_Failure" fld="8" baseField="0" baseItem="0"/>
    <dataField name="Count of Mission" fld="0" subtotal="count" baseField="0" baseItem="0"/>
    <dataField name="Average of Cost_Variance_Pct" fld="13" subtotal="average" baseField="19" baseItem="0" numFmtId="2"/>
  </dataFields>
  <chartFormats count="6">
    <chartFormat chart="6" format="22" series="1">
      <pivotArea type="data" outline="0" fieldPosition="0">
        <references count="1">
          <reference field="4294967294" count="1" selected="0">
            <x v="0"/>
          </reference>
        </references>
      </pivotArea>
    </chartFormat>
    <chartFormat chart="6" format="23" series="1">
      <pivotArea type="data" outline="0" fieldPosition="0">
        <references count="1">
          <reference field="4294967294" count="1" selected="0">
            <x v="1"/>
          </reference>
        </references>
      </pivotArea>
    </chartFormat>
    <chartFormat chart="6" format="24" series="1">
      <pivotArea type="data" outline="0" fieldPosition="0">
        <references count="1">
          <reference field="4294967294" count="1" selected="0">
            <x v="2"/>
          </reference>
        </references>
      </pivotArea>
    </chartFormat>
    <chartFormat chart="3" format="31" series="1">
      <pivotArea type="data" outline="0" fieldPosition="0">
        <references count="1">
          <reference field="4294967294" count="1" selected="0">
            <x v="0"/>
          </reference>
        </references>
      </pivotArea>
    </chartFormat>
    <chartFormat chart="3" format="32" series="1">
      <pivotArea type="data" outline="0" fieldPosition="0">
        <references count="1">
          <reference field="4294967294" count="1" selected="0">
            <x v="1"/>
          </reference>
        </references>
      </pivotArea>
    </chartFormat>
    <chartFormat chart="3" format="33"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9D857A7-F115-4920-A499-267723788909}"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B16:H22" firstHeaderRow="1" firstDataRow="2" firstDataCol="1"/>
  <pivotFields count="15">
    <pivotField showAll="0"/>
    <pivotField showAll="0"/>
    <pivotField showAll="0"/>
    <pivotField axis="axisCol" showAll="0">
      <items count="6">
        <item x="1"/>
        <item x="4"/>
        <item x="0"/>
        <item x="3"/>
        <item x="2"/>
        <item t="default"/>
      </items>
    </pivotField>
    <pivotField showAll="0"/>
    <pivotField axis="axisRow" showAll="0">
      <items count="5">
        <item x="0"/>
        <item x="1"/>
        <item x="2"/>
        <item x="3"/>
        <item t="default"/>
      </items>
    </pivotField>
    <pivotField showAll="0"/>
    <pivotField showAll="0"/>
    <pivotField showAll="0"/>
    <pivotField showAll="0"/>
    <pivotField showAll="0"/>
    <pivotField showAll="0"/>
    <pivotField dataField="1" showAll="0"/>
    <pivotField showAll="0"/>
    <pivotField showAll="0"/>
  </pivotFields>
  <rowFields count="1">
    <field x="5"/>
  </rowFields>
  <rowItems count="5">
    <i>
      <x/>
    </i>
    <i>
      <x v="1"/>
    </i>
    <i>
      <x v="2"/>
    </i>
    <i>
      <x v="3"/>
    </i>
    <i t="grand">
      <x/>
    </i>
  </rowItems>
  <colFields count="1">
    <field x="3"/>
  </colFields>
  <colItems count="6">
    <i>
      <x/>
    </i>
    <i>
      <x v="1"/>
    </i>
    <i>
      <x v="2"/>
    </i>
    <i>
      <x v="3"/>
    </i>
    <i>
      <x v="4"/>
    </i>
    <i t="grand">
      <x/>
    </i>
  </colItems>
  <dataFields count="1">
    <dataField name="Sum of Total_Mission_Cost" fld="12" baseField="0" baseItem="0"/>
  </dataFields>
  <chartFormats count="12">
    <chartFormat chart="4" format="24" series="1">
      <pivotArea type="data" outline="0" fieldPosition="0">
        <references count="2">
          <reference field="4294967294" count="1" selected="0">
            <x v="0"/>
          </reference>
          <reference field="3" count="1" selected="0">
            <x v="0"/>
          </reference>
        </references>
      </pivotArea>
    </chartFormat>
    <chartFormat chart="4" format="25" series="1">
      <pivotArea type="data" outline="0" fieldPosition="0">
        <references count="2">
          <reference field="4294967294" count="1" selected="0">
            <x v="0"/>
          </reference>
          <reference field="3" count="1" selected="0">
            <x v="1"/>
          </reference>
        </references>
      </pivotArea>
    </chartFormat>
    <chartFormat chart="4" format="26" series="1">
      <pivotArea type="data" outline="0" fieldPosition="0">
        <references count="2">
          <reference field="4294967294" count="1" selected="0">
            <x v="0"/>
          </reference>
          <reference field="3" count="1" selected="0">
            <x v="2"/>
          </reference>
        </references>
      </pivotArea>
    </chartFormat>
    <chartFormat chart="4" format="27" series="1">
      <pivotArea type="data" outline="0" fieldPosition="0">
        <references count="2">
          <reference field="4294967294" count="1" selected="0">
            <x v="0"/>
          </reference>
          <reference field="3" count="1" selected="0">
            <x v="3"/>
          </reference>
        </references>
      </pivotArea>
    </chartFormat>
    <chartFormat chart="4" format="28">
      <pivotArea type="data" outline="0" fieldPosition="0">
        <references count="3">
          <reference field="4294967294" count="1" selected="0">
            <x v="0"/>
          </reference>
          <reference field="3" count="1" selected="0">
            <x v="3"/>
          </reference>
          <reference field="5" count="1" selected="0">
            <x v="2"/>
          </reference>
        </references>
      </pivotArea>
    </chartFormat>
    <chartFormat chart="4" format="29" series="1">
      <pivotArea type="data" outline="0" fieldPosition="0">
        <references count="2">
          <reference field="4294967294" count="1" selected="0">
            <x v="0"/>
          </reference>
          <reference field="3" count="1" selected="0">
            <x v="4"/>
          </reference>
        </references>
      </pivotArea>
    </chartFormat>
    <chartFormat chart="0" format="42" series="1">
      <pivotArea type="data" outline="0" fieldPosition="0">
        <references count="2">
          <reference field="4294967294" count="1" selected="0">
            <x v="0"/>
          </reference>
          <reference field="3" count="1" selected="0">
            <x v="0"/>
          </reference>
        </references>
      </pivotArea>
    </chartFormat>
    <chartFormat chart="0" format="43" series="1">
      <pivotArea type="data" outline="0" fieldPosition="0">
        <references count="2">
          <reference field="4294967294" count="1" selected="0">
            <x v="0"/>
          </reference>
          <reference field="3" count="1" selected="0">
            <x v="1"/>
          </reference>
        </references>
      </pivotArea>
    </chartFormat>
    <chartFormat chart="0" format="44" series="1">
      <pivotArea type="data" outline="0" fieldPosition="0">
        <references count="2">
          <reference field="4294967294" count="1" selected="0">
            <x v="0"/>
          </reference>
          <reference field="3" count="1" selected="0">
            <x v="2"/>
          </reference>
        </references>
      </pivotArea>
    </chartFormat>
    <chartFormat chart="0" format="45" series="1">
      <pivotArea type="data" outline="0" fieldPosition="0">
        <references count="2">
          <reference field="4294967294" count="1" selected="0">
            <x v="0"/>
          </reference>
          <reference field="3" count="1" selected="0">
            <x v="3"/>
          </reference>
        </references>
      </pivotArea>
    </chartFormat>
    <chartFormat chart="0" format="46">
      <pivotArea type="data" outline="0" fieldPosition="0">
        <references count="3">
          <reference field="4294967294" count="1" selected="0">
            <x v="0"/>
          </reference>
          <reference field="3" count="1" selected="0">
            <x v="3"/>
          </reference>
          <reference field="5" count="1" selected="0">
            <x v="2"/>
          </reference>
        </references>
      </pivotArea>
    </chartFormat>
    <chartFormat chart="0" format="47" series="1">
      <pivotArea type="data" outline="0" fieldPosition="0">
        <references count="2">
          <reference field="4294967294" count="1" selected="0">
            <x v="0"/>
          </reference>
          <reference field="3"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0BA8D31-81E0-4517-A613-1D95A499EE89}" name="PivotTable8"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B95:G98" firstHeaderRow="0" firstDataRow="1" firstDataCol="1"/>
  <pivotFields count="45">
    <pivotField dataField="1" showAll="0"/>
    <pivotField showAll="0"/>
    <pivotField showAll="0">
      <items count="10">
        <item x="3"/>
        <item x="8"/>
        <item x="2"/>
        <item x="4"/>
        <item x="5"/>
        <item x="6"/>
        <item x="0"/>
        <item x="7"/>
        <item x="1"/>
        <item t="default"/>
      </items>
    </pivotField>
    <pivotField showAll="0"/>
    <pivotField showAll="0"/>
    <pivotField showAll="0"/>
    <pivotField showAll="0"/>
    <pivotField showAll="0"/>
    <pivotField dataField="1" showAll="0"/>
    <pivotField showAll="0"/>
    <pivotField showAll="0"/>
    <pivotField showAll="0"/>
    <pivotField showAll="0"/>
    <pivotField dataField="1"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dataField="1" showAll="0"/>
    <pivotField dragToRow="0" dragToCol="0" dragToPage="0" showAll="0" defaultSubtotal="0"/>
    <pivotField dragToRow="0" dragToCol="0" dragToPage="0" showAll="0" defaultSubtotal="0"/>
  </pivotFields>
  <rowFields count="1">
    <field x="35"/>
  </rowFields>
  <rowItems count="3">
    <i>
      <x/>
    </i>
    <i>
      <x v="1"/>
    </i>
    <i t="grand">
      <x/>
    </i>
  </rowItems>
  <colFields count="1">
    <field x="-2"/>
  </colFields>
  <colItems count="5">
    <i>
      <x/>
    </i>
    <i i="1">
      <x v="1"/>
    </i>
    <i i="2">
      <x v="2"/>
    </i>
    <i i="3">
      <x v="3"/>
    </i>
    <i i="4">
      <x v="4"/>
    </i>
  </colItems>
  <dataFields count="5">
    <dataField name="Average of Cost_Variance_Pct" fld="13" subtotal="average" baseField="35" baseItem="0" numFmtId="166"/>
    <dataField name="Average of Complexity_Score" fld="19" subtotal="average" baseField="35" baseItem="1" numFmtId="2"/>
    <dataField name="Average of Mission_Duration_Yrs" fld="42" subtotal="average" baseField="35" baseItem="0" numFmtId="2"/>
    <dataField name="Sum of Is_Failure" fld="8" baseField="0" baseItem="0"/>
    <dataField name="Count of Mission" fld="0" subtotal="count" baseField="0" baseItem="0"/>
  </dataFields>
  <chartFormats count="5">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2" format="2" series="1">
      <pivotArea type="data" outline="0" fieldPosition="0">
        <references count="1">
          <reference field="4294967294" count="1" selected="0">
            <x v="2"/>
          </reference>
        </references>
      </pivotArea>
    </chartFormat>
    <chartFormat chart="2" format="3" series="1">
      <pivotArea type="data" outline="0" fieldPosition="0">
        <references count="1">
          <reference field="4294967294" count="1" selected="0">
            <x v="3"/>
          </reference>
        </references>
      </pivotArea>
    </chartFormat>
    <chartFormat chart="2" format="4" series="1">
      <pivotArea type="data" outline="0" fieldPosition="0">
        <references count="1">
          <reference field="4294967294"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ission_Era" xr10:uid="{4066FED8-6EC7-42F8-A2FB-D4A5D180B16E}" sourceName="Mission_Era">
  <pivotTables>
    <pivotTable tabId="10" name="PivotTable3"/>
  </pivotTables>
  <data>
    <tabular pivotCacheId="307657810">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stination" xr10:uid="{E02E9D73-22AB-46DC-A6C2-DB94B088B29B}" sourceName="Destination">
  <pivotTables>
    <pivotTable tabId="10" name="PivotTable5"/>
  </pivotTables>
  <data>
    <tabular pivotCacheId="805173590">
      <items count="9">
        <i x="3" s="1"/>
        <i x="8" s="1"/>
        <i x="2" s="1"/>
        <i x="4" s="1"/>
        <i x="5" s="1"/>
        <i x="6" s="1"/>
        <i x="0" s="1"/>
        <i x="7"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ission_Type" xr10:uid="{A01524A2-019F-4EEE-BC7E-615B8A8AF6C1}" sourceName="Mission_Type">
  <pivotTables>
    <pivotTable tabId="10" name="PivotTable3"/>
  </pivotTables>
  <data>
    <tabular pivotCacheId="307657810">
      <items count="5">
        <i x="1" s="1"/>
        <i x="4" s="1"/>
        <i x="0" s="1"/>
        <i x="3"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stination1" xr10:uid="{6E1204EB-7CB1-417C-A735-EEF6E76BC15B}" sourceName="Destination">
  <pivotTables>
    <pivotTable tabId="10" name="PivotTable7"/>
  </pivotTables>
  <data>
    <tabular pivotCacheId="1029483622">
      <items count="9">
        <i x="3" s="1"/>
        <i x="8" s="1"/>
        <i x="2" s="1"/>
        <i x="4" s="1"/>
        <i x="5" s="1"/>
        <i x="6" s="1"/>
        <i x="0" s="1"/>
        <i x="7"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ission_Era" xr10:uid="{833466F5-8874-4FCB-9D0C-39CCD5F5C819}" cache="Slicer_Mission_Era" caption="Mission_Era" rowHeight="241300"/>
  <slicer name="Destination" xr10:uid="{C6A49440-DC8F-494E-A35E-4321FB1AF9E5}" cache="Slicer_Destination" caption="Destination" rowHeight="241300"/>
  <slicer name="Mission_Type" xr10:uid="{0D94CCCA-47AC-4B9B-AFA1-5862E0F46126}" cache="Slicer_Mission_Type" caption="Mission_Type" rowHeight="241300"/>
  <slicer name="Destination 1" xr10:uid="{1F74DFB2-1F0C-4E76-82D7-6E74A300F33E}" cache="Slicer_Destination1" caption="Destination"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ission_Era 1" xr10:uid="{003599A0-6D77-461C-97CF-55A903F2E95F}" cache="Slicer_Mission_Era" caption="Mission_Era" rowHeight="241300"/>
  <slicer name="Destination 3" xr10:uid="{79F25A67-3786-477D-8732-C229189392A3}" cache="Slicer_Destination" caption="Destination" rowHeight="241300"/>
  <slicer name="Mission_Type 1" xr10:uid="{0EA39CA5-EB46-405F-8C23-CF8C0E5EB4E2}" cache="Slicer_Mission_Type" caption="Mission_Type" rowHeight="241300"/>
  <slicer name="Destination 2" xr10:uid="{07ACEDC0-948B-4C61-8918-3D7D0B983475}" cache="Slicer_Destination1" caption="Destination" rowHeight="241300"/>
</slicer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drawing" Target="../drawings/drawing3.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microsoft.com/office/2007/relationships/slicer" Target="../slicers/slicer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7"/>
  <sheetViews>
    <sheetView showGridLines="0" topLeftCell="A19" zoomScale="85" zoomScaleNormal="85" workbookViewId="0">
      <selection activeCell="V21" sqref="V21"/>
    </sheetView>
  </sheetViews>
  <sheetFormatPr defaultColWidth="8.7109375" defaultRowHeight="15" x14ac:dyDescent="0.25"/>
  <cols>
    <col min="1" max="1" width="28" customWidth="1"/>
    <col min="2" max="7" width="18" customWidth="1"/>
  </cols>
  <sheetData>
    <row r="1" spans="1:7" ht="43.5" customHeight="1" x14ac:dyDescent="0.25">
      <c r="A1" s="84" t="s">
        <v>0</v>
      </c>
      <c r="B1" s="84"/>
      <c r="C1" s="84"/>
      <c r="D1" s="84"/>
      <c r="E1" s="84"/>
      <c r="F1" s="84"/>
      <c r="G1" s="84"/>
    </row>
    <row r="2" spans="1:7" ht="19.5" customHeight="1" x14ac:dyDescent="0.25">
      <c r="A2" s="85" t="s">
        <v>1</v>
      </c>
      <c r="B2" s="85"/>
      <c r="C2" s="85"/>
      <c r="D2" s="85"/>
      <c r="E2" s="85"/>
      <c r="F2" s="85"/>
      <c r="G2" s="85"/>
    </row>
    <row r="3" spans="1:7" ht="9.75" customHeight="1" x14ac:dyDescent="0.25"/>
    <row r="4" spans="1:7" ht="21.75" customHeight="1" x14ac:dyDescent="0.25">
      <c r="A4" s="1" t="s">
        <v>2</v>
      </c>
      <c r="B4" s="1" t="s">
        <v>3</v>
      </c>
      <c r="C4" s="2" t="s">
        <v>4</v>
      </c>
      <c r="D4" s="2" t="s">
        <v>5</v>
      </c>
      <c r="E4" s="3" t="s">
        <v>6</v>
      </c>
      <c r="F4" s="4" t="s">
        <v>7</v>
      </c>
      <c r="G4" s="4" t="s">
        <v>8</v>
      </c>
    </row>
    <row r="5" spans="1:7" ht="30" customHeight="1" x14ac:dyDescent="0.25">
      <c r="A5" s="5">
        <f>SUM(Scenario_Model!C11:C15)</f>
        <v>10482</v>
      </c>
      <c r="B5" s="5">
        <f>SUMIF(plan_vs_actual!D:D,"&lt;&gt;"&amp;"",plan_vs_actual!G:G)</f>
        <v>13982.050000000003</v>
      </c>
      <c r="C5" s="6">
        <f>AVERAGE(plan_vs_actual!I:I)/100</f>
        <v>0.30299199999999998</v>
      </c>
      <c r="D5" s="7">
        <f>COUNTIF(plan_vs_actual!J:J,"*Overrun*")</f>
        <v>19</v>
      </c>
      <c r="E5" s="8">
        <f>COUNTIF(plan_vs_actual!M:M,"Success")/COUNTA(plan_vs_actual!M2:M26)</f>
        <v>0.68</v>
      </c>
      <c r="F5" s="9" t="str">
        <f>INDEX(plan_vs_actual!A:A,MATCH(MAX(plan_vs_actual!I:I),plan_vs_actual!I:I,0))</f>
        <v>Galileo</v>
      </c>
      <c r="G5" s="9" t="str">
        <f>INDEX(plan_vs_actual!A:A,MATCH(MIN(plan_vs_actual!I:I),plan_vs_actual!I:I,0))</f>
        <v>Osiris-Rex</v>
      </c>
    </row>
    <row r="6" spans="1:7" ht="19.5" customHeight="1" x14ac:dyDescent="0.25">
      <c r="A6" s="10"/>
      <c r="B6" s="10"/>
      <c r="C6" s="11"/>
      <c r="D6" s="11"/>
      <c r="E6" s="12"/>
      <c r="F6" s="13"/>
      <c r="G6" s="13"/>
    </row>
    <row r="7" spans="1:7" ht="9.75" customHeight="1" x14ac:dyDescent="0.25"/>
    <row r="8" spans="1:7" ht="21.75" customHeight="1" x14ac:dyDescent="0.25">
      <c r="A8" s="86" t="s">
        <v>9</v>
      </c>
      <c r="B8" s="86"/>
      <c r="C8" s="86"/>
      <c r="D8" s="86"/>
      <c r="E8" s="86"/>
      <c r="F8" s="86"/>
      <c r="G8" s="86"/>
    </row>
    <row r="9" spans="1:7" ht="21.75" customHeight="1" x14ac:dyDescent="0.25">
      <c r="A9" s="4" t="s">
        <v>10</v>
      </c>
      <c r="B9" s="4" t="s">
        <v>11</v>
      </c>
      <c r="C9" s="4" t="s">
        <v>12</v>
      </c>
      <c r="D9" s="4" t="s">
        <v>13</v>
      </c>
      <c r="E9" s="4" t="s">
        <v>14</v>
      </c>
      <c r="F9" s="4" t="s">
        <v>15</v>
      </c>
      <c r="G9" s="4" t="s">
        <v>16</v>
      </c>
    </row>
    <row r="10" spans="1:7" ht="18" customHeight="1" x14ac:dyDescent="0.25">
      <c r="A10" s="14">
        <v>1989</v>
      </c>
      <c r="B10" s="15">
        <v>1</v>
      </c>
      <c r="C10" s="16">
        <v>3218.2</v>
      </c>
      <c r="D10" s="16">
        <v>946</v>
      </c>
      <c r="E10" s="16">
        <v>1005.1</v>
      </c>
      <c r="F10" s="16">
        <v>154.4</v>
      </c>
      <c r="G10" s="16">
        <v>5323.7</v>
      </c>
    </row>
    <row r="11" spans="1:7" ht="18" customHeight="1" x14ac:dyDescent="0.25">
      <c r="A11" s="17">
        <v>1992</v>
      </c>
      <c r="B11" s="18">
        <v>2</v>
      </c>
      <c r="C11" s="19">
        <v>4328.8</v>
      </c>
      <c r="D11" s="19">
        <v>1545.5</v>
      </c>
      <c r="E11" s="19">
        <v>1196.5999999999999</v>
      </c>
      <c r="F11" s="19">
        <v>938.6</v>
      </c>
      <c r="G11" s="19">
        <v>8009.5</v>
      </c>
    </row>
    <row r="12" spans="1:7" ht="18" customHeight="1" x14ac:dyDescent="0.25">
      <c r="A12" s="14">
        <v>1996</v>
      </c>
      <c r="B12" s="15">
        <v>2</v>
      </c>
      <c r="C12" s="16">
        <v>521.79999999999995</v>
      </c>
      <c r="D12" s="16">
        <v>196.1</v>
      </c>
      <c r="E12" s="16">
        <v>252.2</v>
      </c>
      <c r="F12" s="16">
        <v>72.3</v>
      </c>
      <c r="G12" s="16">
        <v>1042.4000000000001</v>
      </c>
    </row>
    <row r="13" spans="1:7" ht="18" customHeight="1" x14ac:dyDescent="0.25">
      <c r="A13" s="17">
        <v>1998</v>
      </c>
      <c r="B13" s="18">
        <v>2</v>
      </c>
      <c r="C13" s="19">
        <v>281.39999999999998</v>
      </c>
      <c r="D13" s="19">
        <v>138.4</v>
      </c>
      <c r="E13" s="19">
        <v>23.3</v>
      </c>
      <c r="F13" s="19">
        <v>28.7</v>
      </c>
      <c r="G13" s="19">
        <v>471.8</v>
      </c>
    </row>
    <row r="14" spans="1:7" ht="18" customHeight="1" x14ac:dyDescent="0.25">
      <c r="A14" s="14">
        <v>1999</v>
      </c>
      <c r="B14" s="15">
        <v>3</v>
      </c>
      <c r="C14" s="16">
        <v>1108.8499999999999</v>
      </c>
      <c r="D14" s="16">
        <v>307.39999999999998</v>
      </c>
      <c r="E14" s="16">
        <v>312.85000000000002</v>
      </c>
      <c r="F14" s="16">
        <v>515.5</v>
      </c>
      <c r="G14" s="16">
        <v>2244.6</v>
      </c>
    </row>
    <row r="15" spans="1:7" ht="18" customHeight="1" x14ac:dyDescent="0.25">
      <c r="A15" s="17">
        <v>2001</v>
      </c>
      <c r="B15" s="18">
        <v>2</v>
      </c>
      <c r="C15" s="19">
        <v>977.5</v>
      </c>
      <c r="D15" s="19">
        <v>190.1</v>
      </c>
      <c r="E15" s="19">
        <v>163.1</v>
      </c>
      <c r="F15" s="19">
        <v>260.7</v>
      </c>
      <c r="G15" s="19">
        <v>1591.4</v>
      </c>
    </row>
    <row r="16" spans="1:7" ht="18" customHeight="1" x14ac:dyDescent="0.25">
      <c r="A16" s="14">
        <v>2002</v>
      </c>
      <c r="B16" s="15">
        <v>1</v>
      </c>
      <c r="C16" s="16">
        <v>172</v>
      </c>
      <c r="D16" s="16">
        <v>86.1</v>
      </c>
      <c r="E16" s="16">
        <v>0</v>
      </c>
      <c r="F16" s="16"/>
      <c r="G16" s="16">
        <v>258.10000000000002</v>
      </c>
    </row>
    <row r="17" spans="1:7" ht="18" customHeight="1" x14ac:dyDescent="0.25">
      <c r="A17" s="17">
        <v>2004</v>
      </c>
      <c r="B17" s="18">
        <v>1</v>
      </c>
      <c r="C17" s="19">
        <v>363.3</v>
      </c>
      <c r="D17" s="19">
        <v>115.2</v>
      </c>
      <c r="E17" s="19">
        <v>145.69999999999999</v>
      </c>
      <c r="F17" s="19">
        <v>86.1</v>
      </c>
      <c r="G17" s="19">
        <v>710.3</v>
      </c>
    </row>
    <row r="18" spans="1:7" ht="18" customHeight="1" x14ac:dyDescent="0.25">
      <c r="A18" s="14">
        <v>2006</v>
      </c>
      <c r="B18" s="15">
        <v>1</v>
      </c>
      <c r="C18" s="16">
        <v>995.9</v>
      </c>
      <c r="D18" s="16">
        <v>254.1</v>
      </c>
      <c r="E18" s="16">
        <v>208</v>
      </c>
      <c r="F18" s="16">
        <v>211.8</v>
      </c>
      <c r="G18" s="16">
        <v>1669.8</v>
      </c>
    </row>
    <row r="19" spans="1:7" ht="18" customHeight="1" x14ac:dyDescent="0.25">
      <c r="A19" s="17">
        <v>2007</v>
      </c>
      <c r="B19" s="18">
        <v>1</v>
      </c>
      <c r="C19" s="19">
        <v>444.7</v>
      </c>
      <c r="D19" s="19">
        <v>137.4</v>
      </c>
      <c r="E19" s="19">
        <v>139.69999999999999</v>
      </c>
      <c r="F19" s="19">
        <v>27.9</v>
      </c>
      <c r="G19" s="19">
        <v>749.7</v>
      </c>
    </row>
    <row r="20" spans="1:7" ht="18" customHeight="1" x14ac:dyDescent="0.25">
      <c r="A20" s="14">
        <v>2011</v>
      </c>
      <c r="B20" s="15">
        <v>3</v>
      </c>
      <c r="C20" s="16">
        <v>3469.3</v>
      </c>
      <c r="D20" s="16">
        <v>459.6</v>
      </c>
      <c r="E20" s="16">
        <v>291.5</v>
      </c>
      <c r="F20" s="16">
        <v>631.6</v>
      </c>
      <c r="G20" s="16">
        <v>4852.1000000000004</v>
      </c>
    </row>
    <row r="21" spans="1:7" ht="18" customHeight="1" x14ac:dyDescent="0.25">
      <c r="A21" s="17">
        <v>2013</v>
      </c>
      <c r="B21" s="18">
        <v>2</v>
      </c>
      <c r="C21" s="19">
        <v>769.3</v>
      </c>
      <c r="D21" s="19">
        <v>293.60000000000002</v>
      </c>
      <c r="E21" s="19">
        <v>47</v>
      </c>
      <c r="F21" s="19">
        <v>198.4</v>
      </c>
      <c r="G21" s="19">
        <v>1308.3</v>
      </c>
    </row>
    <row r="22" spans="1:7" ht="18" customHeight="1" x14ac:dyDescent="0.25">
      <c r="A22" s="14">
        <v>2016</v>
      </c>
      <c r="B22" s="15">
        <v>1</v>
      </c>
      <c r="C22" s="16">
        <v>747.5</v>
      </c>
      <c r="D22" s="16">
        <v>224.5</v>
      </c>
      <c r="E22" s="16">
        <v>275.39999999999998</v>
      </c>
      <c r="F22" s="16">
        <v>103.3</v>
      </c>
      <c r="G22" s="16">
        <v>1350.7</v>
      </c>
    </row>
    <row r="23" spans="1:7" ht="18" customHeight="1" x14ac:dyDescent="0.25">
      <c r="A23" s="17">
        <v>2021</v>
      </c>
      <c r="B23" s="18">
        <v>2</v>
      </c>
      <c r="C23" s="19">
        <v>868.9</v>
      </c>
      <c r="D23" s="19">
        <v>243.7</v>
      </c>
      <c r="E23" s="19">
        <v>351.8</v>
      </c>
      <c r="F23" s="19"/>
      <c r="G23" s="19">
        <v>1464.4</v>
      </c>
    </row>
    <row r="24" spans="1:7" ht="18" customHeight="1" x14ac:dyDescent="0.25">
      <c r="A24" s="14">
        <v>2023</v>
      </c>
      <c r="B24" s="15">
        <v>1</v>
      </c>
      <c r="C24" s="16">
        <v>935.9</v>
      </c>
      <c r="D24" s="16">
        <v>115.9</v>
      </c>
      <c r="E24" s="16">
        <v>150.9</v>
      </c>
      <c r="F24" s="16"/>
      <c r="G24" s="16">
        <v>1202.7</v>
      </c>
    </row>
    <row r="25" spans="1:7" ht="21.75" customHeight="1" x14ac:dyDescent="0.25">
      <c r="A25" s="20" t="s">
        <v>17</v>
      </c>
      <c r="B25" s="21">
        <f t="shared" ref="B25:G25" si="0">SUM(B10:B24)</f>
        <v>25</v>
      </c>
      <c r="C25" s="22">
        <f t="shared" si="0"/>
        <v>19203.350000000002</v>
      </c>
      <c r="D25" s="22">
        <f t="shared" si="0"/>
        <v>5253.5999999999995</v>
      </c>
      <c r="E25" s="22">
        <f t="shared" si="0"/>
        <v>4563.1499999999987</v>
      </c>
      <c r="F25" s="22">
        <f t="shared" si="0"/>
        <v>3229.3000000000006</v>
      </c>
      <c r="G25" s="22">
        <f t="shared" si="0"/>
        <v>32249.500000000004</v>
      </c>
    </row>
    <row r="27" spans="1:7" ht="21.75" customHeight="1" x14ac:dyDescent="0.25">
      <c r="A27" s="86" t="s">
        <v>18</v>
      </c>
      <c r="B27" s="86"/>
      <c r="C27" s="86"/>
      <c r="D27" s="86"/>
      <c r="E27" s="86"/>
    </row>
    <row r="28" spans="1:7" ht="21.75" customHeight="1" x14ac:dyDescent="0.25">
      <c r="A28" s="4" t="s">
        <v>19</v>
      </c>
      <c r="B28" s="4" t="s">
        <v>11</v>
      </c>
      <c r="C28" s="4" t="s">
        <v>20</v>
      </c>
      <c r="D28" s="4" t="s">
        <v>21</v>
      </c>
      <c r="E28" s="4" t="s">
        <v>22</v>
      </c>
    </row>
    <row r="29" spans="1:7" ht="19.5" customHeight="1" x14ac:dyDescent="0.25">
      <c r="A29" s="23" t="s">
        <v>23</v>
      </c>
      <c r="B29" s="24">
        <v>6</v>
      </c>
      <c r="C29" s="24">
        <v>3</v>
      </c>
      <c r="D29" s="24">
        <v>1</v>
      </c>
      <c r="E29" s="25">
        <v>-5.3283333333333301E-2</v>
      </c>
    </row>
    <row r="30" spans="1:7" ht="19.5" customHeight="1" x14ac:dyDescent="0.25">
      <c r="A30" s="26" t="s">
        <v>24</v>
      </c>
      <c r="B30" s="27">
        <v>10</v>
      </c>
      <c r="C30" s="27">
        <v>7</v>
      </c>
      <c r="D30" s="27">
        <v>1</v>
      </c>
      <c r="E30" s="28">
        <v>9.4009999999999996E-2</v>
      </c>
    </row>
    <row r="31" spans="1:7" ht="19.5" customHeight="1" x14ac:dyDescent="0.25">
      <c r="A31" s="29" t="s">
        <v>25</v>
      </c>
      <c r="B31" s="30">
        <v>6</v>
      </c>
      <c r="C31" s="30">
        <v>4</v>
      </c>
      <c r="D31" s="30">
        <v>1</v>
      </c>
      <c r="E31" s="31">
        <v>0.36314999999999997</v>
      </c>
    </row>
    <row r="32" spans="1:7" ht="19.5" customHeight="1" x14ac:dyDescent="0.25">
      <c r="A32" s="32" t="s">
        <v>26</v>
      </c>
      <c r="B32" s="33">
        <v>3</v>
      </c>
      <c r="C32" s="33">
        <v>2</v>
      </c>
      <c r="D32" s="33">
        <v>0</v>
      </c>
      <c r="E32" s="34">
        <v>1.5918333333333301</v>
      </c>
    </row>
    <row r="33" spans="1:7" ht="21.75" customHeight="1" x14ac:dyDescent="0.25">
      <c r="A33" s="86" t="s">
        <v>27</v>
      </c>
      <c r="B33" s="86"/>
      <c r="C33" s="86"/>
      <c r="D33" s="86"/>
      <c r="E33" s="86"/>
      <c r="F33" s="86"/>
      <c r="G33" s="86"/>
    </row>
    <row r="34" spans="1:7" ht="21.75" customHeight="1" x14ac:dyDescent="0.25">
      <c r="A34" s="4" t="s">
        <v>28</v>
      </c>
      <c r="B34" s="4" t="s">
        <v>29</v>
      </c>
      <c r="C34" s="4" t="s">
        <v>30</v>
      </c>
      <c r="D34" s="4" t="s">
        <v>31</v>
      </c>
      <c r="E34" s="4" t="s">
        <v>32</v>
      </c>
    </row>
    <row r="35" spans="1:7" ht="19.5" customHeight="1" x14ac:dyDescent="0.25">
      <c r="A35" s="35" t="s">
        <v>33</v>
      </c>
      <c r="B35" s="36">
        <f>Scenario_Model!C16</f>
        <v>10482</v>
      </c>
      <c r="C35" s="36">
        <f>Scenario_Model!E16</f>
        <v>12388.283750000001</v>
      </c>
      <c r="D35" s="36">
        <f>Scenario_Model!F16</f>
        <v>1906.2837499999998</v>
      </c>
      <c r="E35" s="37">
        <f>D35/B35</f>
        <v>0.1818625977866819</v>
      </c>
    </row>
    <row r="36" spans="1:7" ht="19.5" customHeight="1" x14ac:dyDescent="0.25">
      <c r="A36" s="38" t="s">
        <v>34</v>
      </c>
      <c r="B36" s="39">
        <f>Scenario_Model!C16</f>
        <v>10482</v>
      </c>
      <c r="C36" s="39">
        <f>Scenario_Model!G16</f>
        <v>14294.567499999999</v>
      </c>
      <c r="D36" s="39">
        <f>Scenario_Model!H16</f>
        <v>3812.5674999999992</v>
      </c>
      <c r="E36" s="40">
        <f>D36/B36</f>
        <v>0.3637251955733638</v>
      </c>
    </row>
    <row r="37" spans="1:7" ht="19.5" customHeight="1" x14ac:dyDescent="0.25">
      <c r="A37" s="41" t="s">
        <v>35</v>
      </c>
      <c r="B37" s="42">
        <f>Scenario_Model!C16</f>
        <v>10482</v>
      </c>
      <c r="C37" s="42">
        <f>Scenario_Model!I16</f>
        <v>16200.851249999998</v>
      </c>
      <c r="D37" s="42">
        <f>Scenario_Model!J16</f>
        <v>5718.8512499999997</v>
      </c>
      <c r="E37" s="34">
        <f>D37/B37</f>
        <v>0.54558779336004581</v>
      </c>
    </row>
  </sheetData>
  <mergeCells count="5">
    <mergeCell ref="A1:G1"/>
    <mergeCell ref="A2:G2"/>
    <mergeCell ref="A8:G8"/>
    <mergeCell ref="A27:E27"/>
    <mergeCell ref="A33:G33"/>
  </mergeCells>
  <pageMargins left="0.75" right="0.75" top="1" bottom="1" header="0.511811023622047" footer="0.511811023622047"/>
  <pageSetup paperSize="9" orientation="portrait" horizontalDpi="300" verticalDpi="300"/>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2"/>
  <sheetViews>
    <sheetView showGridLines="0" topLeftCell="A24" zoomScale="70" zoomScaleNormal="70" workbookViewId="0">
      <selection activeCell="N61" sqref="N61"/>
    </sheetView>
  </sheetViews>
  <sheetFormatPr defaultColWidth="8.7109375" defaultRowHeight="15" x14ac:dyDescent="0.25"/>
  <cols>
    <col min="1" max="1" width="22" customWidth="1"/>
    <col min="2" max="2" width="14" customWidth="1"/>
    <col min="3" max="9" width="16" customWidth="1"/>
    <col min="10" max="10" width="14" customWidth="1"/>
  </cols>
  <sheetData>
    <row r="1" spans="1:10" ht="39.75" customHeight="1" x14ac:dyDescent="0.25">
      <c r="A1" s="87" t="s">
        <v>36</v>
      </c>
      <c r="B1" s="87"/>
      <c r="C1" s="87"/>
      <c r="D1" s="87"/>
      <c r="E1" s="87"/>
      <c r="F1" s="87"/>
      <c r="G1" s="87"/>
      <c r="H1" s="87"/>
      <c r="I1" s="87"/>
      <c r="J1" s="87"/>
    </row>
    <row r="2" spans="1:10" ht="19.5" customHeight="1" x14ac:dyDescent="0.25">
      <c r="A2" s="85" t="s">
        <v>37</v>
      </c>
      <c r="B2" s="85"/>
      <c r="C2" s="85"/>
      <c r="D2" s="85"/>
      <c r="E2" s="85"/>
      <c r="F2" s="85"/>
      <c r="G2" s="85"/>
      <c r="H2" s="85"/>
      <c r="I2" s="85"/>
      <c r="J2" s="85"/>
    </row>
    <row r="3" spans="1:10" ht="7.5" customHeight="1" x14ac:dyDescent="0.25"/>
    <row r="4" spans="1:10" ht="21.75" customHeight="1" x14ac:dyDescent="0.25">
      <c r="A4" s="88" t="s">
        <v>38</v>
      </c>
      <c r="B4" s="88"/>
      <c r="C4" s="88"/>
    </row>
    <row r="5" spans="1:10" ht="19.5" customHeight="1" x14ac:dyDescent="0.25">
      <c r="A5" s="43" t="s">
        <v>39</v>
      </c>
      <c r="B5" s="44">
        <v>0.5</v>
      </c>
      <c r="C5" s="45" t="s">
        <v>40</v>
      </c>
    </row>
    <row r="6" spans="1:10" ht="19.5" customHeight="1" x14ac:dyDescent="0.25">
      <c r="A6" s="43" t="s">
        <v>41</v>
      </c>
      <c r="B6" s="44">
        <v>1</v>
      </c>
      <c r="C6" s="45" t="s">
        <v>42</v>
      </c>
    </row>
    <row r="7" spans="1:10" ht="19.5" customHeight="1" x14ac:dyDescent="0.25">
      <c r="A7" s="43" t="s">
        <v>43</v>
      </c>
      <c r="B7" s="44">
        <v>1.5</v>
      </c>
      <c r="C7" s="45" t="s">
        <v>44</v>
      </c>
    </row>
    <row r="8" spans="1:10" ht="19.5" customHeight="1" x14ac:dyDescent="0.25">
      <c r="A8" s="43" t="s">
        <v>45</v>
      </c>
      <c r="B8" s="46">
        <v>0.03</v>
      </c>
      <c r="C8" s="45" t="s">
        <v>46</v>
      </c>
    </row>
    <row r="9" spans="1:10" ht="7.5" customHeight="1" x14ac:dyDescent="0.25"/>
    <row r="10" spans="1:10" ht="37.5" customHeight="1" x14ac:dyDescent="0.25">
      <c r="A10" s="47" t="s">
        <v>47</v>
      </c>
      <c r="B10" s="47" t="s">
        <v>48</v>
      </c>
      <c r="C10" s="47" t="s">
        <v>49</v>
      </c>
      <c r="D10" s="47" t="s">
        <v>50</v>
      </c>
      <c r="E10" s="47" t="s">
        <v>51</v>
      </c>
      <c r="F10" s="47" t="s">
        <v>52</v>
      </c>
      <c r="G10" s="47" t="s">
        <v>53</v>
      </c>
      <c r="H10" s="47" t="s">
        <v>54</v>
      </c>
      <c r="I10" s="47" t="s">
        <v>55</v>
      </c>
      <c r="J10" s="47" t="s">
        <v>56</v>
      </c>
    </row>
    <row r="11" spans="1:10" ht="21.75" customHeight="1" x14ac:dyDescent="0.25">
      <c r="A11" s="48" t="s">
        <v>57</v>
      </c>
      <c r="B11" s="49">
        <v>17</v>
      </c>
      <c r="C11" s="50">
        <v>6952.3</v>
      </c>
      <c r="D11" s="51">
        <v>0.3049</v>
      </c>
      <c r="E11" s="39">
        <f>C11*(1+D11*$B$5)</f>
        <v>8012.1781350000001</v>
      </c>
      <c r="F11" s="39">
        <f>E11-C11</f>
        <v>1059.8781349999999</v>
      </c>
      <c r="G11" s="39">
        <f>C11*(1+D11*$B$6)</f>
        <v>9072.0562699999991</v>
      </c>
      <c r="H11" s="39">
        <f>G11-C11</f>
        <v>2119.7562699999989</v>
      </c>
      <c r="I11" s="39">
        <f>C11*(1+D11*$B$7)</f>
        <v>10131.934405</v>
      </c>
      <c r="J11" s="39">
        <f>I11-C11</f>
        <v>3179.6344049999998</v>
      </c>
    </row>
    <row r="12" spans="1:10" ht="21.75" customHeight="1" x14ac:dyDescent="0.25">
      <c r="A12" s="52" t="s">
        <v>58</v>
      </c>
      <c r="B12" s="53">
        <v>3</v>
      </c>
      <c r="C12" s="54">
        <v>1132.4000000000001</v>
      </c>
      <c r="D12" s="55">
        <v>0.255</v>
      </c>
      <c r="E12" s="56">
        <f>C12*(1+D12*$B$5)</f>
        <v>1276.7809999999999</v>
      </c>
      <c r="F12" s="56">
        <f>E12-C12</f>
        <v>144.38099999999986</v>
      </c>
      <c r="G12" s="56">
        <f>C12*(1+D12*$B$6)</f>
        <v>1421.162</v>
      </c>
      <c r="H12" s="56">
        <f>G12-C12</f>
        <v>288.76199999999994</v>
      </c>
      <c r="I12" s="56">
        <f>C12*(1+D12*$B$7)</f>
        <v>1565.5430000000001</v>
      </c>
      <c r="J12" s="56">
        <f>I12-C12</f>
        <v>433.14300000000003</v>
      </c>
    </row>
    <row r="13" spans="1:10" ht="21.75" customHeight="1" x14ac:dyDescent="0.25">
      <c r="A13" s="57" t="s">
        <v>59</v>
      </c>
      <c r="B13" s="58">
        <v>3</v>
      </c>
      <c r="C13" s="59">
        <v>1109.8</v>
      </c>
      <c r="D13" s="60">
        <v>8.6599999999999996E-2</v>
      </c>
      <c r="E13" s="61">
        <f>C13*(1+D13*$B$5)</f>
        <v>1157.8543399999999</v>
      </c>
      <c r="F13" s="61">
        <f>E13-C13</f>
        <v>48.054339999999911</v>
      </c>
      <c r="G13" s="61">
        <f>C13*(1+D13*$B$6)</f>
        <v>1205.90868</v>
      </c>
      <c r="H13" s="61">
        <f>G13-C13</f>
        <v>96.108680000000049</v>
      </c>
      <c r="I13" s="61">
        <f>C13*(1+D13*$B$7)</f>
        <v>1253.9630199999999</v>
      </c>
      <c r="J13" s="61">
        <f>I13-C13</f>
        <v>144.16301999999996</v>
      </c>
    </row>
    <row r="14" spans="1:10" ht="21.75" customHeight="1" x14ac:dyDescent="0.25">
      <c r="A14" s="62" t="s">
        <v>60</v>
      </c>
      <c r="B14" s="63">
        <v>1</v>
      </c>
      <c r="C14" s="64">
        <v>1068.5</v>
      </c>
      <c r="D14" s="65">
        <v>1.1873</v>
      </c>
      <c r="E14" s="66">
        <f>C14*(1+D14*$B$5)</f>
        <v>1702.8150250000001</v>
      </c>
      <c r="F14" s="66">
        <f>E14-C14</f>
        <v>634.31502500000011</v>
      </c>
      <c r="G14" s="66">
        <f>C14*(1+D14*$B$6)</f>
        <v>2337.1300500000002</v>
      </c>
      <c r="H14" s="66">
        <f>G14-C14</f>
        <v>1268.6300500000002</v>
      </c>
      <c r="I14" s="66">
        <f>C14*(1+D14*$B$7)</f>
        <v>2971.4450749999996</v>
      </c>
      <c r="J14" s="66">
        <f>I14-C14</f>
        <v>1902.9450749999996</v>
      </c>
    </row>
    <row r="15" spans="1:10" ht="21.75" customHeight="1" x14ac:dyDescent="0.25">
      <c r="A15" s="67" t="s">
        <v>61</v>
      </c>
      <c r="B15" s="68">
        <v>1</v>
      </c>
      <c r="C15" s="69">
        <v>219</v>
      </c>
      <c r="D15" s="70">
        <v>0.17949999999999999</v>
      </c>
      <c r="E15" s="71">
        <f>C15*(1+D15*$B$5)</f>
        <v>238.65525</v>
      </c>
      <c r="F15" s="71">
        <f>E15-C15</f>
        <v>19.655249999999995</v>
      </c>
      <c r="G15" s="71">
        <f>C15*(1+D15*$B$6)</f>
        <v>258.31049999999999</v>
      </c>
      <c r="H15" s="71">
        <f>G15-C15</f>
        <v>39.31049999999999</v>
      </c>
      <c r="I15" s="71">
        <f>C15*(1+D15*$B$7)</f>
        <v>277.96575000000001</v>
      </c>
      <c r="J15" s="71">
        <f>I15-C15</f>
        <v>58.965750000000014</v>
      </c>
    </row>
    <row r="16" spans="1:10" ht="24" customHeight="1" x14ac:dyDescent="0.25">
      <c r="A16" s="72" t="s">
        <v>62</v>
      </c>
      <c r="B16" s="20">
        <f>SUM(B11:B15)</f>
        <v>25</v>
      </c>
      <c r="C16" s="22">
        <f>SUM(C11:C15)</f>
        <v>10482</v>
      </c>
      <c r="D16" s="73">
        <f>AVERAGE(D11:D15)</f>
        <v>0.40266000000000002</v>
      </c>
      <c r="E16" s="22">
        <f t="shared" ref="E16:J16" si="0">SUM(E11:E15)</f>
        <v>12388.283750000001</v>
      </c>
      <c r="F16" s="22">
        <f t="shared" si="0"/>
        <v>1906.2837499999998</v>
      </c>
      <c r="G16" s="22">
        <f t="shared" si="0"/>
        <v>14294.567499999999</v>
      </c>
      <c r="H16" s="22">
        <f t="shared" si="0"/>
        <v>3812.5674999999992</v>
      </c>
      <c r="I16" s="22">
        <f t="shared" si="0"/>
        <v>16200.851249999998</v>
      </c>
      <c r="J16" s="22">
        <f t="shared" si="0"/>
        <v>5718.8512499999997</v>
      </c>
    </row>
    <row r="18" spans="1:3" ht="21.75" customHeight="1" x14ac:dyDescent="0.25">
      <c r="A18" s="88" t="s">
        <v>63</v>
      </c>
      <c r="B18" s="88"/>
      <c r="C18" s="88"/>
    </row>
    <row r="19" spans="1:3" ht="19.5" customHeight="1" x14ac:dyDescent="0.25">
      <c r="A19" s="74" t="s">
        <v>64</v>
      </c>
      <c r="B19" s="75">
        <f>SUM(F11:F15)</f>
        <v>1906.2837499999998</v>
      </c>
      <c r="C19" s="76">
        <f>B19/C16</f>
        <v>0.1818625977866819</v>
      </c>
    </row>
    <row r="20" spans="1:3" ht="19.5" customHeight="1" x14ac:dyDescent="0.25">
      <c r="A20" s="74" t="s">
        <v>65</v>
      </c>
      <c r="B20" s="75">
        <f>SUM(H11:H15)</f>
        <v>3812.5674999999992</v>
      </c>
      <c r="C20" s="76">
        <f>B20/C16</f>
        <v>0.3637251955733638</v>
      </c>
    </row>
    <row r="21" spans="1:3" ht="19.5" customHeight="1" x14ac:dyDescent="0.25">
      <c r="A21" s="74" t="s">
        <v>66</v>
      </c>
      <c r="B21" s="75">
        <f>SUM(J11:J15)</f>
        <v>5718.8512499999997</v>
      </c>
      <c r="C21" s="76">
        <f>B21/C16</f>
        <v>0.54558779336004581</v>
      </c>
    </row>
    <row r="22" spans="1:3" ht="19.5" customHeight="1" x14ac:dyDescent="0.25">
      <c r="A22" s="74" t="s">
        <v>67</v>
      </c>
      <c r="B22" s="75">
        <f>SUM(J11:J15)-SUM(F11:F15)</f>
        <v>3812.5675000000001</v>
      </c>
      <c r="C22" s="76">
        <f>B22/C16</f>
        <v>0.36372519557336386</v>
      </c>
    </row>
  </sheetData>
  <mergeCells count="4">
    <mergeCell ref="A1:J1"/>
    <mergeCell ref="A2:J2"/>
    <mergeCell ref="A4:C4"/>
    <mergeCell ref="A18:C18"/>
  </mergeCells>
  <pageMargins left="0.75" right="0.75" top="1" bottom="1" header="0.511811023622047" footer="0.511811023622047"/>
  <pageSetup paperSize="9" orientation="portrait" horizontalDpi="300" verticalDpi="30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DA23-0D2A-4AD3-9D63-62313D546AF0}">
  <dimension ref="B3:H98"/>
  <sheetViews>
    <sheetView topLeftCell="A89" zoomScale="85" zoomScaleNormal="85" workbookViewId="0">
      <selection activeCell="K28" sqref="K28"/>
    </sheetView>
  </sheetViews>
  <sheetFormatPr defaultRowHeight="15" x14ac:dyDescent="0.25"/>
  <cols>
    <col min="2" max="2" width="16.140625" bestFit="1" customWidth="1"/>
    <col min="3" max="3" width="16.28515625" bestFit="1" customWidth="1"/>
    <col min="4" max="4" width="11.5703125" bestFit="1" customWidth="1"/>
    <col min="5" max="5" width="7.140625" bestFit="1" customWidth="1"/>
    <col min="6" max="6" width="11.28515625" bestFit="1" customWidth="1"/>
    <col min="7" max="7" width="14.140625" bestFit="1" customWidth="1"/>
    <col min="8" max="8" width="11.28515625" bestFit="1" customWidth="1"/>
    <col min="9" max="17" width="27.85546875" bestFit="1" customWidth="1"/>
    <col min="18" max="18" width="30.5703125" bestFit="1" customWidth="1"/>
    <col min="19" max="19" width="21.42578125" bestFit="1" customWidth="1"/>
    <col min="20" max="20" width="21.140625" bestFit="1" customWidth="1"/>
    <col min="21" max="21" width="32.85546875" bestFit="1" customWidth="1"/>
  </cols>
  <sheetData>
    <row r="3" spans="2:6" x14ac:dyDescent="0.25">
      <c r="B3" s="79" t="s">
        <v>227</v>
      </c>
      <c r="C3" t="s">
        <v>229</v>
      </c>
      <c r="D3" t="s">
        <v>230</v>
      </c>
      <c r="E3" t="s">
        <v>231</v>
      </c>
      <c r="F3" t="s">
        <v>232</v>
      </c>
    </row>
    <row r="4" spans="2:6" x14ac:dyDescent="0.25">
      <c r="B4" s="80" t="s">
        <v>58</v>
      </c>
      <c r="C4">
        <v>1132.4000000000001</v>
      </c>
      <c r="D4">
        <v>1195.3</v>
      </c>
      <c r="E4">
        <v>62.900000000000006</v>
      </c>
      <c r="F4" s="81">
        <v>25.49666666666667</v>
      </c>
    </row>
    <row r="5" spans="2:6" x14ac:dyDescent="0.25">
      <c r="B5" s="80" t="s">
        <v>61</v>
      </c>
      <c r="C5">
        <v>219</v>
      </c>
      <c r="D5">
        <v>258.3</v>
      </c>
      <c r="E5">
        <v>39.299999999999997</v>
      </c>
      <c r="F5" s="81">
        <v>17.95</v>
      </c>
    </row>
    <row r="6" spans="2:6" x14ac:dyDescent="0.25">
      <c r="B6" s="80" t="s">
        <v>57</v>
      </c>
      <c r="C6">
        <v>6952.3</v>
      </c>
      <c r="D6">
        <v>9126.9500000000007</v>
      </c>
      <c r="E6">
        <v>2174.6500000000005</v>
      </c>
      <c r="F6" s="81">
        <v>30.489411764705885</v>
      </c>
    </row>
    <row r="7" spans="2:6" x14ac:dyDescent="0.25">
      <c r="B7" s="80" t="s">
        <v>60</v>
      </c>
      <c r="C7">
        <v>1068.5</v>
      </c>
      <c r="D7">
        <v>2337.1</v>
      </c>
      <c r="E7">
        <v>1268.5999999999999</v>
      </c>
      <c r="F7" s="81">
        <v>118.73</v>
      </c>
    </row>
    <row r="8" spans="2:6" x14ac:dyDescent="0.25">
      <c r="B8" s="80" t="s">
        <v>59</v>
      </c>
      <c r="C8">
        <v>1109.8</v>
      </c>
      <c r="D8">
        <v>1064.4000000000001</v>
      </c>
      <c r="E8">
        <v>-45.4</v>
      </c>
      <c r="F8" s="81">
        <v>8.6633333333333322</v>
      </c>
    </row>
    <row r="9" spans="2:6" x14ac:dyDescent="0.25">
      <c r="B9" s="80" t="s">
        <v>228</v>
      </c>
      <c r="C9">
        <v>10482</v>
      </c>
      <c r="D9">
        <v>13982.05</v>
      </c>
      <c r="E9">
        <v>3500.0500000000006</v>
      </c>
      <c r="F9" s="81">
        <v>30.299199999999995</v>
      </c>
    </row>
    <row r="16" spans="2:6" x14ac:dyDescent="0.25">
      <c r="B16" s="79" t="s">
        <v>234</v>
      </c>
      <c r="C16" s="79" t="s">
        <v>233</v>
      </c>
    </row>
    <row r="17" spans="2:8" x14ac:dyDescent="0.25">
      <c r="B17" s="79" t="s">
        <v>227</v>
      </c>
      <c r="C17" t="s">
        <v>58</v>
      </c>
      <c r="D17" t="s">
        <v>61</v>
      </c>
      <c r="E17" t="s">
        <v>57</v>
      </c>
      <c r="F17" t="s">
        <v>60</v>
      </c>
      <c r="G17" t="s">
        <v>59</v>
      </c>
      <c r="H17" t="s">
        <v>228</v>
      </c>
    </row>
    <row r="18" spans="2:8" x14ac:dyDescent="0.25">
      <c r="B18" s="80" t="s">
        <v>106</v>
      </c>
      <c r="C18">
        <v>346.6</v>
      </c>
      <c r="E18">
        <v>16317.800000000001</v>
      </c>
      <c r="G18">
        <v>427.6</v>
      </c>
      <c r="H18">
        <v>17092</v>
      </c>
    </row>
    <row r="19" spans="2:8" x14ac:dyDescent="0.25">
      <c r="B19" s="80" t="s">
        <v>100</v>
      </c>
      <c r="C19">
        <v>258.10000000000002</v>
      </c>
      <c r="E19">
        <v>4246</v>
      </c>
      <c r="G19">
        <v>475.2</v>
      </c>
      <c r="H19">
        <v>4979.3</v>
      </c>
    </row>
    <row r="20" spans="2:8" x14ac:dyDescent="0.25">
      <c r="B20" s="80" t="s">
        <v>129</v>
      </c>
      <c r="E20">
        <v>1962.7</v>
      </c>
      <c r="F20">
        <v>4197.7</v>
      </c>
      <c r="G20">
        <v>1350.7</v>
      </c>
      <c r="H20">
        <v>7511.0999999999995</v>
      </c>
    </row>
    <row r="21" spans="2:8" x14ac:dyDescent="0.25">
      <c r="B21" s="80" t="s">
        <v>115</v>
      </c>
      <c r="C21">
        <v>1089.5999999999999</v>
      </c>
      <c r="D21">
        <v>374.8</v>
      </c>
      <c r="E21">
        <v>1202.7</v>
      </c>
      <c r="H21">
        <v>2667.1</v>
      </c>
    </row>
    <row r="22" spans="2:8" x14ac:dyDescent="0.25">
      <c r="B22" s="80" t="s">
        <v>228</v>
      </c>
      <c r="C22">
        <v>1694.3</v>
      </c>
      <c r="D22">
        <v>374.8</v>
      </c>
      <c r="E22">
        <v>23729.200000000004</v>
      </c>
      <c r="F22">
        <v>4197.7</v>
      </c>
      <c r="G22">
        <v>2253.5</v>
      </c>
      <c r="H22">
        <v>32249.499999999996</v>
      </c>
    </row>
    <row r="29" spans="2:8" x14ac:dyDescent="0.25">
      <c r="B29" s="79" t="s">
        <v>227</v>
      </c>
      <c r="C29" t="s">
        <v>235</v>
      </c>
      <c r="D29" t="s">
        <v>236</v>
      </c>
      <c r="E29" t="s">
        <v>237</v>
      </c>
    </row>
    <row r="30" spans="2:8" x14ac:dyDescent="0.25">
      <c r="B30" s="80">
        <v>0</v>
      </c>
      <c r="C30">
        <v>1</v>
      </c>
      <c r="D30">
        <v>15</v>
      </c>
      <c r="E30" s="81">
        <v>12.697333333333331</v>
      </c>
    </row>
    <row r="31" spans="2:8" x14ac:dyDescent="0.25">
      <c r="B31" s="80">
        <v>1</v>
      </c>
      <c r="C31">
        <v>2</v>
      </c>
      <c r="D31">
        <v>8</v>
      </c>
      <c r="E31" s="81">
        <v>18.578749999999999</v>
      </c>
    </row>
    <row r="32" spans="2:8" x14ac:dyDescent="0.25">
      <c r="B32" s="80">
        <v>2</v>
      </c>
      <c r="C32">
        <v>0</v>
      </c>
      <c r="D32">
        <v>1</v>
      </c>
      <c r="E32" s="81">
        <v>299.66000000000003</v>
      </c>
    </row>
    <row r="33" spans="2:6" x14ac:dyDescent="0.25">
      <c r="B33" s="80">
        <v>3</v>
      </c>
      <c r="C33">
        <v>0</v>
      </c>
      <c r="D33">
        <v>1</v>
      </c>
      <c r="E33" s="81">
        <v>118.73</v>
      </c>
    </row>
    <row r="34" spans="2:6" x14ac:dyDescent="0.25">
      <c r="B34" s="80" t="s">
        <v>228</v>
      </c>
      <c r="C34">
        <v>3</v>
      </c>
      <c r="D34">
        <v>25</v>
      </c>
      <c r="E34" s="81">
        <v>30.299199999999999</v>
      </c>
    </row>
    <row r="42" spans="2:6" x14ac:dyDescent="0.25">
      <c r="B42" s="79" t="s">
        <v>227</v>
      </c>
      <c r="C42" t="s">
        <v>238</v>
      </c>
      <c r="D42" t="s">
        <v>239</v>
      </c>
      <c r="E42" t="s">
        <v>240</v>
      </c>
      <c r="F42" t="s">
        <v>241</v>
      </c>
    </row>
    <row r="43" spans="2:6" x14ac:dyDescent="0.25">
      <c r="B43" s="80" t="s">
        <v>114</v>
      </c>
      <c r="C43">
        <v>1724.9</v>
      </c>
      <c r="D43">
        <v>529.1</v>
      </c>
      <c r="E43">
        <v>552.79999999999995</v>
      </c>
      <c r="F43">
        <v>131.19999999999999</v>
      </c>
    </row>
    <row r="44" spans="2:6" x14ac:dyDescent="0.25">
      <c r="B44" s="80" t="s">
        <v>158</v>
      </c>
      <c r="C44">
        <v>935.9</v>
      </c>
      <c r="D44">
        <v>115.9</v>
      </c>
      <c r="E44">
        <v>150.9</v>
      </c>
    </row>
    <row r="45" spans="2:6" x14ac:dyDescent="0.25">
      <c r="B45" s="80" t="s">
        <v>110</v>
      </c>
      <c r="C45">
        <v>637.20000000000005</v>
      </c>
      <c r="D45">
        <v>251.39999999999998</v>
      </c>
      <c r="E45">
        <v>67.5</v>
      </c>
      <c r="F45">
        <v>76.2</v>
      </c>
    </row>
    <row r="46" spans="2:6" x14ac:dyDescent="0.25">
      <c r="B46" s="80" t="s">
        <v>122</v>
      </c>
      <c r="C46">
        <v>4808.2</v>
      </c>
      <c r="D46">
        <v>1367.5</v>
      </c>
      <c r="E46">
        <v>1541.1999999999998</v>
      </c>
      <c r="F46">
        <v>366.20000000000005</v>
      </c>
    </row>
    <row r="47" spans="2:6" x14ac:dyDescent="0.25">
      <c r="B47" s="80" t="s">
        <v>125</v>
      </c>
      <c r="C47">
        <v>300.5</v>
      </c>
      <c r="D47">
        <v>90.4</v>
      </c>
      <c r="E47">
        <v>84.3</v>
      </c>
    </row>
    <row r="48" spans="2:6" x14ac:dyDescent="0.25">
      <c r="B48" s="80" t="s">
        <v>128</v>
      </c>
      <c r="C48">
        <v>730.80000000000007</v>
      </c>
      <c r="D48">
        <v>330.5</v>
      </c>
      <c r="E48">
        <v>48.599999999999994</v>
      </c>
      <c r="F48">
        <v>35.4</v>
      </c>
    </row>
    <row r="49" spans="2:6" x14ac:dyDescent="0.25">
      <c r="B49" s="80" t="s">
        <v>99</v>
      </c>
      <c r="C49">
        <v>6683.0499999999993</v>
      </c>
      <c r="D49">
        <v>1644.3</v>
      </c>
      <c r="E49">
        <v>822.75</v>
      </c>
      <c r="F49">
        <v>1595.6</v>
      </c>
    </row>
    <row r="50" spans="2:6" x14ac:dyDescent="0.25">
      <c r="B50" s="80" t="s">
        <v>149</v>
      </c>
      <c r="C50">
        <v>363.3</v>
      </c>
      <c r="D50">
        <v>115.2</v>
      </c>
      <c r="E50">
        <v>145.69999999999999</v>
      </c>
      <c r="F50">
        <v>86.1</v>
      </c>
    </row>
    <row r="51" spans="2:6" x14ac:dyDescent="0.25">
      <c r="B51" s="80" t="s">
        <v>105</v>
      </c>
      <c r="C51">
        <v>3019.5</v>
      </c>
      <c r="D51">
        <v>809.3</v>
      </c>
      <c r="E51">
        <v>1149.4000000000001</v>
      </c>
      <c r="F51">
        <v>938.6</v>
      </c>
    </row>
    <row r="52" spans="2:6" x14ac:dyDescent="0.25">
      <c r="B52" s="80" t="s">
        <v>228</v>
      </c>
      <c r="C52">
        <v>19203.349999999999</v>
      </c>
      <c r="D52">
        <v>5253.6</v>
      </c>
      <c r="E52">
        <v>4563.1499999999996</v>
      </c>
      <c r="F52">
        <v>3229.2999999999997</v>
      </c>
    </row>
    <row r="54" spans="2:6" x14ac:dyDescent="0.25">
      <c r="B54" s="79" t="s">
        <v>91</v>
      </c>
      <c r="C54" t="s">
        <v>242</v>
      </c>
    </row>
    <row r="56" spans="2:6" x14ac:dyDescent="0.25">
      <c r="B56" s="79" t="s">
        <v>227</v>
      </c>
      <c r="C56" t="s">
        <v>245</v>
      </c>
      <c r="D56" t="s">
        <v>237</v>
      </c>
      <c r="E56" t="s">
        <v>236</v>
      </c>
    </row>
    <row r="57" spans="2:6" x14ac:dyDescent="0.25">
      <c r="B57" s="80" t="s">
        <v>153</v>
      </c>
      <c r="C57" s="81">
        <v>-1</v>
      </c>
      <c r="D57" s="82">
        <v>-7.46</v>
      </c>
      <c r="E57">
        <v>1</v>
      </c>
    </row>
    <row r="58" spans="2:6" x14ac:dyDescent="0.25">
      <c r="B58" s="80" t="s">
        <v>127</v>
      </c>
      <c r="C58" s="81">
        <v>2</v>
      </c>
      <c r="D58" s="82">
        <v>5.08</v>
      </c>
      <c r="E58">
        <v>1</v>
      </c>
    </row>
    <row r="59" spans="2:6" x14ac:dyDescent="0.25">
      <c r="B59" s="80" t="s">
        <v>131</v>
      </c>
      <c r="C59" s="81">
        <v>2</v>
      </c>
      <c r="D59" s="82">
        <v>5.08</v>
      </c>
      <c r="E59">
        <v>1</v>
      </c>
    </row>
    <row r="60" spans="2:6" x14ac:dyDescent="0.25">
      <c r="B60" s="80" t="s">
        <v>136</v>
      </c>
      <c r="C60" s="81">
        <v>0</v>
      </c>
      <c r="D60" s="82">
        <v>0.93</v>
      </c>
      <c r="E60">
        <v>1</v>
      </c>
    </row>
    <row r="61" spans="2:6" x14ac:dyDescent="0.25">
      <c r="B61" s="80" t="s">
        <v>157</v>
      </c>
      <c r="C61" s="81">
        <v>13</v>
      </c>
      <c r="D61" s="82">
        <v>19.79</v>
      </c>
      <c r="E61">
        <v>1</v>
      </c>
    </row>
    <row r="62" spans="2:6" x14ac:dyDescent="0.25">
      <c r="B62" s="80" t="s">
        <v>138</v>
      </c>
      <c r="C62" s="81">
        <v>4</v>
      </c>
      <c r="D62" s="82">
        <v>0.65</v>
      </c>
      <c r="E62">
        <v>1</v>
      </c>
    </row>
    <row r="63" spans="2:6" x14ac:dyDescent="0.25">
      <c r="B63" s="80" t="s">
        <v>160</v>
      </c>
      <c r="C63" s="81">
        <v>0</v>
      </c>
      <c r="D63" s="82">
        <v>7.3</v>
      </c>
      <c r="E63">
        <v>1</v>
      </c>
    </row>
    <row r="64" spans="2:6" x14ac:dyDescent="0.25">
      <c r="B64" s="80" t="s">
        <v>124</v>
      </c>
      <c r="C64" s="81">
        <v>9</v>
      </c>
      <c r="D64" s="82">
        <v>29.18</v>
      </c>
      <c r="E64">
        <v>1</v>
      </c>
    </row>
    <row r="65" spans="2:5" x14ac:dyDescent="0.25">
      <c r="B65" s="80" t="s">
        <v>109</v>
      </c>
      <c r="C65" s="81">
        <v>1</v>
      </c>
      <c r="D65" s="82">
        <v>40.090000000000003</v>
      </c>
      <c r="E65">
        <v>1</v>
      </c>
    </row>
    <row r="66" spans="2:5" x14ac:dyDescent="0.25">
      <c r="B66" s="80" t="s">
        <v>148</v>
      </c>
      <c r="C66" s="81">
        <v>6</v>
      </c>
      <c r="D66" s="82">
        <v>19.559999999999999</v>
      </c>
      <c r="E66">
        <v>1</v>
      </c>
    </row>
    <row r="67" spans="2:5" x14ac:dyDescent="0.25">
      <c r="B67" s="80" t="s">
        <v>117</v>
      </c>
      <c r="C67" s="81">
        <v>16</v>
      </c>
      <c r="D67" s="82">
        <v>41.57</v>
      </c>
      <c r="E67">
        <v>1</v>
      </c>
    </row>
    <row r="68" spans="2:5" x14ac:dyDescent="0.25">
      <c r="B68" s="80" t="s">
        <v>151</v>
      </c>
      <c r="C68" s="81">
        <v>25</v>
      </c>
      <c r="D68" s="82">
        <v>118.73</v>
      </c>
      <c r="E68">
        <v>1</v>
      </c>
    </row>
    <row r="69" spans="2:5" x14ac:dyDescent="0.25">
      <c r="B69" s="80" t="s">
        <v>104</v>
      </c>
      <c r="C69" s="81">
        <v>17.333333333333332</v>
      </c>
      <c r="D69" s="82">
        <v>56.818333333333349</v>
      </c>
      <c r="E69">
        <v>6</v>
      </c>
    </row>
    <row r="70" spans="2:5" x14ac:dyDescent="0.25">
      <c r="B70" s="80" t="s">
        <v>98</v>
      </c>
      <c r="C70" s="81">
        <v>1</v>
      </c>
      <c r="D70" s="82">
        <v>37.01</v>
      </c>
      <c r="E70">
        <v>1</v>
      </c>
    </row>
    <row r="71" spans="2:5" x14ac:dyDescent="0.25">
      <c r="B71" s="80" t="s">
        <v>140</v>
      </c>
      <c r="C71" s="81">
        <v>0</v>
      </c>
      <c r="D71" s="82">
        <v>-0.19</v>
      </c>
      <c r="E71">
        <v>1</v>
      </c>
    </row>
    <row r="72" spans="2:5" x14ac:dyDescent="0.25">
      <c r="B72" s="80" t="s">
        <v>133</v>
      </c>
      <c r="C72" s="81">
        <v>26</v>
      </c>
      <c r="D72" s="82">
        <v>59.16</v>
      </c>
      <c r="E72">
        <v>1</v>
      </c>
    </row>
    <row r="73" spans="2:5" x14ac:dyDescent="0.25">
      <c r="B73" s="80" t="s">
        <v>155</v>
      </c>
      <c r="C73" s="81">
        <v>0</v>
      </c>
      <c r="D73" s="82">
        <v>-10.49</v>
      </c>
      <c r="E73">
        <v>1</v>
      </c>
    </row>
    <row r="74" spans="2:5" x14ac:dyDescent="0.25">
      <c r="B74" s="80" t="s">
        <v>119</v>
      </c>
      <c r="C74" s="81">
        <v>0</v>
      </c>
      <c r="D74" s="82">
        <v>35.47</v>
      </c>
      <c r="E74">
        <v>1</v>
      </c>
    </row>
    <row r="75" spans="2:5" x14ac:dyDescent="0.25">
      <c r="B75" s="80" t="s">
        <v>113</v>
      </c>
      <c r="C75" s="81">
        <v>6</v>
      </c>
      <c r="D75" s="82">
        <v>17.95</v>
      </c>
      <c r="E75">
        <v>1</v>
      </c>
    </row>
    <row r="76" spans="2:5" x14ac:dyDescent="0.25">
      <c r="B76" s="80" t="s">
        <v>146</v>
      </c>
      <c r="C76" s="81">
        <v>0</v>
      </c>
      <c r="D76" s="82">
        <v>-2.84</v>
      </c>
      <c r="E76">
        <v>1</v>
      </c>
    </row>
    <row r="77" spans="2:5" x14ac:dyDescent="0.25">
      <c r="B77" s="80" t="s">
        <v>228</v>
      </c>
      <c r="C77" s="81">
        <v>8.56</v>
      </c>
      <c r="D77" s="82">
        <v>30.299200000000006</v>
      </c>
      <c r="E77">
        <v>25</v>
      </c>
    </row>
    <row r="81" spans="2:7" x14ac:dyDescent="0.25">
      <c r="B81" s="79" t="s">
        <v>236</v>
      </c>
      <c r="C81" s="79" t="s">
        <v>233</v>
      </c>
    </row>
    <row r="82" spans="2:7" x14ac:dyDescent="0.25">
      <c r="B82" s="79" t="s">
        <v>227</v>
      </c>
      <c r="C82" t="s">
        <v>93</v>
      </c>
      <c r="D82" t="s">
        <v>102</v>
      </c>
      <c r="E82" t="s">
        <v>111</v>
      </c>
      <c r="F82" t="s">
        <v>228</v>
      </c>
    </row>
    <row r="83" spans="2:7" x14ac:dyDescent="0.25">
      <c r="B83" s="80" t="s">
        <v>114</v>
      </c>
      <c r="C83">
        <v>3</v>
      </c>
      <c r="D83">
        <v>1</v>
      </c>
      <c r="F83">
        <v>4</v>
      </c>
    </row>
    <row r="84" spans="2:7" x14ac:dyDescent="0.25">
      <c r="B84" s="80" t="s">
        <v>158</v>
      </c>
      <c r="D84">
        <v>1</v>
      </c>
      <c r="F84">
        <v>1</v>
      </c>
    </row>
    <row r="85" spans="2:7" x14ac:dyDescent="0.25">
      <c r="B85" s="80" t="s">
        <v>110</v>
      </c>
      <c r="C85">
        <v>2</v>
      </c>
      <c r="E85">
        <v>1</v>
      </c>
      <c r="F85">
        <v>3</v>
      </c>
    </row>
    <row r="86" spans="2:7" x14ac:dyDescent="0.25">
      <c r="B86" s="80" t="s">
        <v>122</v>
      </c>
      <c r="C86">
        <v>2</v>
      </c>
      <c r="D86">
        <v>1</v>
      </c>
      <c r="F86">
        <v>3</v>
      </c>
    </row>
    <row r="87" spans="2:7" x14ac:dyDescent="0.25">
      <c r="B87" s="80" t="s">
        <v>125</v>
      </c>
      <c r="C87">
        <v>1</v>
      </c>
      <c r="F87">
        <v>1</v>
      </c>
    </row>
    <row r="88" spans="2:7" x14ac:dyDescent="0.25">
      <c r="B88" s="80" t="s">
        <v>128</v>
      </c>
      <c r="C88">
        <v>4</v>
      </c>
      <c r="F88">
        <v>4</v>
      </c>
    </row>
    <row r="89" spans="2:7" x14ac:dyDescent="0.25">
      <c r="B89" s="80" t="s">
        <v>99</v>
      </c>
      <c r="C89">
        <v>2</v>
      </c>
      <c r="D89">
        <v>3</v>
      </c>
      <c r="E89">
        <v>2</v>
      </c>
      <c r="F89">
        <v>7</v>
      </c>
    </row>
    <row r="90" spans="2:7" x14ac:dyDescent="0.25">
      <c r="B90" s="80" t="s">
        <v>149</v>
      </c>
      <c r="C90">
        <v>1</v>
      </c>
      <c r="F90">
        <v>1</v>
      </c>
    </row>
    <row r="91" spans="2:7" x14ac:dyDescent="0.25">
      <c r="B91" s="80" t="s">
        <v>105</v>
      </c>
      <c r="C91">
        <v>1</v>
      </c>
      <c r="F91">
        <v>1</v>
      </c>
    </row>
    <row r="92" spans="2:7" x14ac:dyDescent="0.25">
      <c r="B92" s="80" t="s">
        <v>228</v>
      </c>
      <c r="C92">
        <v>16</v>
      </c>
      <c r="D92">
        <v>6</v>
      </c>
      <c r="E92">
        <v>3</v>
      </c>
      <c r="F92">
        <v>25</v>
      </c>
    </row>
    <row r="95" spans="2:7" x14ac:dyDescent="0.25">
      <c r="B95" s="79" t="s">
        <v>227</v>
      </c>
      <c r="C95" t="s">
        <v>237</v>
      </c>
      <c r="D95" t="s">
        <v>243</v>
      </c>
      <c r="E95" t="s">
        <v>244</v>
      </c>
      <c r="F95" t="s">
        <v>235</v>
      </c>
      <c r="G95" t="s">
        <v>236</v>
      </c>
    </row>
    <row r="96" spans="2:7" x14ac:dyDescent="0.25">
      <c r="B96" s="80" t="s">
        <v>190</v>
      </c>
      <c r="C96" s="82">
        <v>138.06000000000003</v>
      </c>
      <c r="D96" s="81">
        <v>2</v>
      </c>
      <c r="E96" s="81">
        <v>15.383333333333335</v>
      </c>
      <c r="F96">
        <v>0</v>
      </c>
      <c r="G96">
        <v>3</v>
      </c>
    </row>
    <row r="97" spans="2:7" x14ac:dyDescent="0.25">
      <c r="B97" s="80" t="s">
        <v>188</v>
      </c>
      <c r="C97" s="82">
        <v>15.604545454545461</v>
      </c>
      <c r="D97" s="81">
        <v>0.31818181818181818</v>
      </c>
      <c r="E97" s="81">
        <v>6.3995454545454553</v>
      </c>
      <c r="F97">
        <v>3</v>
      </c>
      <c r="G97">
        <v>22</v>
      </c>
    </row>
    <row r="98" spans="2:7" x14ac:dyDescent="0.25">
      <c r="B98" s="80" t="s">
        <v>228</v>
      </c>
      <c r="C98" s="82">
        <v>30.299199999999995</v>
      </c>
      <c r="D98" s="81">
        <v>0.52</v>
      </c>
      <c r="E98" s="81">
        <v>7.4776000000000025</v>
      </c>
      <c r="F98">
        <v>3</v>
      </c>
      <c r="G98">
        <v>25</v>
      </c>
    </row>
  </sheetData>
  <pageMargins left="0.7" right="0.7" top="0.75" bottom="0.75" header="0.3" footer="0.3"/>
  <drawing r:id="rId8"/>
  <extLst>
    <ext xmlns:x14="http://schemas.microsoft.com/office/spreadsheetml/2009/9/main" uri="{A8765BA9-456A-4dab-B4F3-ACF838C121DE}">
      <x14:slicerList>
        <x14:slicer r:id="rId9"/>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C26"/>
  <sheetViews>
    <sheetView showGridLines="0" tabSelected="1" topLeftCell="G1" zoomScaleNormal="100" workbookViewId="0">
      <selection activeCell="P2" sqref="P2:P19"/>
    </sheetView>
  </sheetViews>
  <sheetFormatPr defaultColWidth="8.7109375" defaultRowHeight="15" x14ac:dyDescent="0.25"/>
  <cols>
    <col min="1" max="6" width="14" customWidth="1"/>
    <col min="7" max="7" width="15" customWidth="1"/>
    <col min="8" max="8" width="14" customWidth="1"/>
    <col min="9" max="9" width="15" customWidth="1"/>
    <col min="10" max="10" width="19" customWidth="1"/>
    <col min="11" max="11" width="15" customWidth="1"/>
    <col min="12" max="12" width="20" customWidth="1"/>
    <col min="13" max="13" width="16" customWidth="1"/>
    <col min="14" max="14" width="19" customWidth="1"/>
    <col min="15" max="15" width="16" customWidth="1"/>
    <col min="16" max="16" width="22" customWidth="1"/>
    <col min="17" max="17" width="20" customWidth="1"/>
    <col min="18" max="18" width="23" customWidth="1"/>
    <col min="19" max="19" width="20" customWidth="1"/>
    <col min="20" max="20" width="26" customWidth="1"/>
    <col min="21" max="21" width="17" customWidth="1"/>
    <col min="22" max="22" width="22" customWidth="1"/>
    <col min="23" max="23" width="19" customWidth="1"/>
    <col min="24" max="24" width="26" customWidth="1"/>
    <col min="25" max="25" width="17" customWidth="1"/>
    <col min="26" max="28" width="14" customWidth="1"/>
    <col min="29" max="29" width="16" customWidth="1"/>
  </cols>
  <sheetData>
    <row r="1" spans="1:29" x14ac:dyDescent="0.25">
      <c r="A1" s="4" t="s">
        <v>68</v>
      </c>
      <c r="B1" s="4" t="s">
        <v>69</v>
      </c>
      <c r="C1" s="4" t="s">
        <v>70</v>
      </c>
      <c r="D1" s="4" t="s">
        <v>71</v>
      </c>
      <c r="E1" s="4" t="s">
        <v>72</v>
      </c>
      <c r="F1" s="4" t="s">
        <v>73</v>
      </c>
      <c r="G1" s="4" t="s">
        <v>74</v>
      </c>
      <c r="H1" s="4" t="s">
        <v>75</v>
      </c>
      <c r="I1" s="4" t="s">
        <v>76</v>
      </c>
      <c r="J1" s="4" t="s">
        <v>77</v>
      </c>
      <c r="K1" s="4" t="s">
        <v>78</v>
      </c>
      <c r="L1" s="4" t="s">
        <v>79</v>
      </c>
      <c r="M1" s="4" t="s">
        <v>80</v>
      </c>
      <c r="N1" s="4" t="s">
        <v>81</v>
      </c>
      <c r="O1" s="4" t="s">
        <v>82</v>
      </c>
      <c r="P1" s="4" t="s">
        <v>83</v>
      </c>
      <c r="Q1" s="4" t="s">
        <v>84</v>
      </c>
      <c r="R1" s="4" t="s">
        <v>85</v>
      </c>
      <c r="S1" s="4" t="s">
        <v>86</v>
      </c>
      <c r="T1" s="4" t="s">
        <v>87</v>
      </c>
      <c r="U1" s="4" t="s">
        <v>88</v>
      </c>
      <c r="V1" s="4" t="s">
        <v>89</v>
      </c>
      <c r="W1" s="4" t="s">
        <v>90</v>
      </c>
      <c r="X1" s="4" t="s">
        <v>91</v>
      </c>
      <c r="Y1" s="4" t="s">
        <v>92</v>
      </c>
      <c r="Z1" s="4" t="s">
        <v>93</v>
      </c>
      <c r="AA1" s="4" t="s">
        <v>94</v>
      </c>
      <c r="AB1" s="4" t="s">
        <v>95</v>
      </c>
      <c r="AC1" s="4" t="s">
        <v>96</v>
      </c>
    </row>
    <row r="2" spans="1:29" ht="24" x14ac:dyDescent="0.25">
      <c r="A2" s="77" t="s">
        <v>97</v>
      </c>
      <c r="B2" s="77" t="s">
        <v>98</v>
      </c>
      <c r="C2" s="77" t="s">
        <v>99</v>
      </c>
      <c r="D2" s="77" t="s">
        <v>57</v>
      </c>
      <c r="E2" s="77">
        <v>2001</v>
      </c>
      <c r="F2" s="77" t="s">
        <v>100</v>
      </c>
      <c r="G2" s="77">
        <v>267.2</v>
      </c>
      <c r="H2" s="77">
        <v>366.1</v>
      </c>
      <c r="I2" s="77">
        <v>98.9</v>
      </c>
      <c r="J2" s="77">
        <v>37.01</v>
      </c>
      <c r="K2" s="77" t="s">
        <v>25</v>
      </c>
      <c r="L2" s="77">
        <v>1116.2</v>
      </c>
      <c r="M2" s="77">
        <v>677</v>
      </c>
      <c r="N2" s="77">
        <v>99.7</v>
      </c>
      <c r="O2" s="77">
        <v>78.8</v>
      </c>
      <c r="P2" s="77">
        <v>260.7</v>
      </c>
      <c r="Q2" s="77">
        <v>60.7</v>
      </c>
      <c r="R2" s="77">
        <v>8.9</v>
      </c>
      <c r="S2" s="77">
        <v>7.1</v>
      </c>
      <c r="T2" s="77">
        <v>23.4</v>
      </c>
      <c r="U2" s="77">
        <v>3.28</v>
      </c>
      <c r="V2" s="77">
        <v>24.03</v>
      </c>
      <c r="W2" s="77">
        <v>27.44</v>
      </c>
      <c r="X2" s="77">
        <v>1</v>
      </c>
      <c r="Y2" s="77" t="s">
        <v>101</v>
      </c>
      <c r="Z2" s="77" t="s">
        <v>102</v>
      </c>
      <c r="AA2" s="77">
        <v>0</v>
      </c>
      <c r="AB2" s="77">
        <v>0</v>
      </c>
      <c r="AC2" s="77">
        <v>1</v>
      </c>
    </row>
    <row r="3" spans="1:29" ht="24" x14ac:dyDescent="0.25">
      <c r="A3" s="78" t="s">
        <v>103</v>
      </c>
      <c r="B3" s="78" t="s">
        <v>104</v>
      </c>
      <c r="C3" s="78" t="s">
        <v>105</v>
      </c>
      <c r="D3" s="78" t="s">
        <v>57</v>
      </c>
      <c r="E3" s="78">
        <v>1992</v>
      </c>
      <c r="F3" s="78" t="s">
        <v>106</v>
      </c>
      <c r="G3" s="78">
        <v>1436.4</v>
      </c>
      <c r="H3" s="78">
        <v>1375.9</v>
      </c>
      <c r="I3" s="78">
        <v>-60.5</v>
      </c>
      <c r="J3" s="78">
        <v>-4.21</v>
      </c>
      <c r="K3" s="78" t="s">
        <v>23</v>
      </c>
      <c r="L3" s="78">
        <v>5916.8</v>
      </c>
      <c r="M3" s="78">
        <v>3019.5</v>
      </c>
      <c r="N3" s="78">
        <v>809.3</v>
      </c>
      <c r="O3" s="78">
        <v>1149.4000000000001</v>
      </c>
      <c r="P3" s="78">
        <v>938.6</v>
      </c>
      <c r="Q3" s="78">
        <v>51</v>
      </c>
      <c r="R3" s="78">
        <v>13.7</v>
      </c>
      <c r="S3" s="78">
        <v>19.399999999999999</v>
      </c>
      <c r="T3" s="78">
        <v>15.9</v>
      </c>
      <c r="U3" s="78">
        <v>57.7</v>
      </c>
      <c r="V3" s="78">
        <v>19.920000000000002</v>
      </c>
      <c r="W3" s="78">
        <v>26.29</v>
      </c>
      <c r="X3" s="78">
        <v>18</v>
      </c>
      <c r="Y3" s="78" t="s">
        <v>107</v>
      </c>
      <c r="Z3" s="78" t="s">
        <v>93</v>
      </c>
      <c r="AA3" s="78">
        <v>1</v>
      </c>
      <c r="AB3" s="78">
        <v>0</v>
      </c>
      <c r="AC3" s="78">
        <v>0</v>
      </c>
    </row>
    <row r="4" spans="1:29" ht="24" x14ac:dyDescent="0.25">
      <c r="A4" s="77" t="s">
        <v>108</v>
      </c>
      <c r="B4" s="77" t="s">
        <v>109</v>
      </c>
      <c r="C4" s="77" t="s">
        <v>110</v>
      </c>
      <c r="D4" s="77" t="s">
        <v>58</v>
      </c>
      <c r="E4" s="77">
        <v>2002</v>
      </c>
      <c r="F4" s="77" t="s">
        <v>100</v>
      </c>
      <c r="G4" s="77">
        <v>69.099999999999994</v>
      </c>
      <c r="H4" s="77">
        <v>96.8</v>
      </c>
      <c r="I4" s="77">
        <v>27.7</v>
      </c>
      <c r="J4" s="77">
        <v>40.090000000000003</v>
      </c>
      <c r="K4" s="77" t="s">
        <v>25</v>
      </c>
      <c r="L4" s="77">
        <v>258.10000000000002</v>
      </c>
      <c r="M4" s="77">
        <v>172</v>
      </c>
      <c r="N4" s="77">
        <v>86.1</v>
      </c>
      <c r="O4" s="77">
        <v>0</v>
      </c>
      <c r="P4" s="77"/>
      <c r="Q4" s="77">
        <v>66.599999999999994</v>
      </c>
      <c r="R4" s="77">
        <v>33.4</v>
      </c>
      <c r="S4" s="77">
        <v>0</v>
      </c>
      <c r="T4" s="77"/>
      <c r="U4" s="77"/>
      <c r="V4" s="77">
        <v>0</v>
      </c>
      <c r="W4" s="77">
        <v>3.42</v>
      </c>
      <c r="X4" s="77">
        <v>1</v>
      </c>
      <c r="Y4" s="77" t="s">
        <v>101</v>
      </c>
      <c r="Z4" s="77" t="s">
        <v>111</v>
      </c>
      <c r="AA4" s="77">
        <v>0</v>
      </c>
      <c r="AB4" s="77">
        <v>1</v>
      </c>
      <c r="AC4" s="77">
        <v>0</v>
      </c>
    </row>
    <row r="5" spans="1:29" ht="24" x14ac:dyDescent="0.25">
      <c r="A5" s="78" t="s">
        <v>112</v>
      </c>
      <c r="B5" s="78" t="s">
        <v>113</v>
      </c>
      <c r="C5" s="78" t="s">
        <v>114</v>
      </c>
      <c r="D5" s="78" t="s">
        <v>61</v>
      </c>
      <c r="E5" s="78">
        <v>2021</v>
      </c>
      <c r="F5" s="78" t="s">
        <v>115</v>
      </c>
      <c r="G5" s="78">
        <v>219</v>
      </c>
      <c r="H5" s="78">
        <v>258.3</v>
      </c>
      <c r="I5" s="78">
        <v>39.299999999999997</v>
      </c>
      <c r="J5" s="78">
        <v>17.95</v>
      </c>
      <c r="K5" s="78" t="s">
        <v>24</v>
      </c>
      <c r="L5" s="78">
        <v>374.8</v>
      </c>
      <c r="M5" s="78">
        <v>274.8</v>
      </c>
      <c r="N5" s="78">
        <v>76.3</v>
      </c>
      <c r="O5" s="78">
        <v>23.7</v>
      </c>
      <c r="P5" s="78"/>
      <c r="Q5" s="78">
        <v>73.3</v>
      </c>
      <c r="R5" s="78">
        <v>20.399999999999999</v>
      </c>
      <c r="S5" s="78">
        <v>6.3</v>
      </c>
      <c r="T5" s="78"/>
      <c r="U5" s="78">
        <v>28.21</v>
      </c>
      <c r="V5" s="78">
        <v>0.84</v>
      </c>
      <c r="W5" s="78">
        <v>5.57</v>
      </c>
      <c r="X5" s="78">
        <v>6</v>
      </c>
      <c r="Y5" s="78" t="s">
        <v>101</v>
      </c>
      <c r="Z5" s="78" t="s">
        <v>93</v>
      </c>
      <c r="AA5" s="78">
        <v>1</v>
      </c>
      <c r="AB5" s="78">
        <v>0</v>
      </c>
      <c r="AC5" s="78">
        <v>0</v>
      </c>
    </row>
    <row r="6" spans="1:29" ht="24" x14ac:dyDescent="0.25">
      <c r="A6" s="77" t="s">
        <v>116</v>
      </c>
      <c r="B6" s="77" t="s">
        <v>117</v>
      </c>
      <c r="C6" s="77" t="s">
        <v>114</v>
      </c>
      <c r="D6" s="77" t="s">
        <v>57</v>
      </c>
      <c r="E6" s="77">
        <v>2007</v>
      </c>
      <c r="F6" s="77" t="s">
        <v>100</v>
      </c>
      <c r="G6" s="77">
        <v>202.8</v>
      </c>
      <c r="H6" s="77">
        <v>287.10000000000002</v>
      </c>
      <c r="I6" s="77">
        <v>84.3</v>
      </c>
      <c r="J6" s="77">
        <v>41.57</v>
      </c>
      <c r="K6" s="77" t="s">
        <v>25</v>
      </c>
      <c r="L6" s="77">
        <v>749.7</v>
      </c>
      <c r="M6" s="77">
        <v>444.7</v>
      </c>
      <c r="N6" s="77">
        <v>137.4</v>
      </c>
      <c r="O6" s="77">
        <v>139.69999999999999</v>
      </c>
      <c r="P6" s="77">
        <v>27.9</v>
      </c>
      <c r="Q6" s="77">
        <v>59.3</v>
      </c>
      <c r="R6" s="77">
        <v>18.3</v>
      </c>
      <c r="S6" s="77">
        <v>18.600000000000001</v>
      </c>
      <c r="T6" s="77">
        <v>3.7</v>
      </c>
      <c r="U6" s="77">
        <v>12.59</v>
      </c>
      <c r="V6" s="77">
        <v>11.1</v>
      </c>
      <c r="W6" s="77">
        <v>16.170000000000002</v>
      </c>
      <c r="X6" s="77">
        <v>16</v>
      </c>
      <c r="Y6" s="77" t="s">
        <v>107</v>
      </c>
      <c r="Z6" s="77" t="s">
        <v>93</v>
      </c>
      <c r="AA6" s="77">
        <v>1</v>
      </c>
      <c r="AB6" s="77">
        <v>0</v>
      </c>
      <c r="AC6" s="77">
        <v>0</v>
      </c>
    </row>
    <row r="7" spans="1:29" ht="24" x14ac:dyDescent="0.25">
      <c r="A7" s="78" t="s">
        <v>118</v>
      </c>
      <c r="B7" s="78" t="s">
        <v>119</v>
      </c>
      <c r="C7" s="78" t="s">
        <v>110</v>
      </c>
      <c r="D7" s="78" t="s">
        <v>58</v>
      </c>
      <c r="E7" s="78">
        <v>1998</v>
      </c>
      <c r="F7" s="78" t="s">
        <v>106</v>
      </c>
      <c r="G7" s="78">
        <v>73.3</v>
      </c>
      <c r="H7" s="78">
        <v>99.3</v>
      </c>
      <c r="I7" s="78">
        <v>26</v>
      </c>
      <c r="J7" s="78">
        <v>35.47</v>
      </c>
      <c r="K7" s="78" t="s">
        <v>25</v>
      </c>
      <c r="L7" s="78">
        <v>346.6</v>
      </c>
      <c r="M7" s="78">
        <v>221.2</v>
      </c>
      <c r="N7" s="78">
        <v>87.3</v>
      </c>
      <c r="O7" s="78">
        <v>13.5</v>
      </c>
      <c r="P7" s="78">
        <v>24.6</v>
      </c>
      <c r="Q7" s="78">
        <v>63.8</v>
      </c>
      <c r="R7" s="78">
        <v>25.2</v>
      </c>
      <c r="S7" s="78">
        <v>3.9</v>
      </c>
      <c r="T7" s="78">
        <v>7.1</v>
      </c>
      <c r="U7" s="78">
        <v>4.29</v>
      </c>
      <c r="V7" s="78">
        <v>3.15</v>
      </c>
      <c r="W7" s="78">
        <v>6.21</v>
      </c>
      <c r="X7" s="78">
        <v>0</v>
      </c>
      <c r="Y7" s="78" t="s">
        <v>120</v>
      </c>
      <c r="Z7" s="78" t="s">
        <v>93</v>
      </c>
      <c r="AA7" s="78">
        <v>1</v>
      </c>
      <c r="AB7" s="78">
        <v>0</v>
      </c>
      <c r="AC7" s="78">
        <v>0</v>
      </c>
    </row>
    <row r="8" spans="1:29" ht="24" x14ac:dyDescent="0.25">
      <c r="A8" s="77" t="s">
        <v>121</v>
      </c>
      <c r="B8" s="77" t="s">
        <v>104</v>
      </c>
      <c r="C8" s="77" t="s">
        <v>122</v>
      </c>
      <c r="D8" s="77" t="s">
        <v>57</v>
      </c>
      <c r="E8" s="77">
        <v>1989</v>
      </c>
      <c r="F8" s="77" t="s">
        <v>106</v>
      </c>
      <c r="G8" s="77">
        <v>410.1</v>
      </c>
      <c r="H8" s="77">
        <v>1639</v>
      </c>
      <c r="I8" s="77">
        <v>1228.9000000000001</v>
      </c>
      <c r="J8" s="77">
        <v>299.66000000000003</v>
      </c>
      <c r="K8" s="77" t="s">
        <v>26</v>
      </c>
      <c r="L8" s="77">
        <v>5323.7</v>
      </c>
      <c r="M8" s="77">
        <v>3218.2</v>
      </c>
      <c r="N8" s="77">
        <v>946</v>
      </c>
      <c r="O8" s="77">
        <v>1005.1</v>
      </c>
      <c r="P8" s="77">
        <v>154.4</v>
      </c>
      <c r="Q8" s="77">
        <v>60.5</v>
      </c>
      <c r="R8" s="77">
        <v>17.8</v>
      </c>
      <c r="S8" s="77">
        <v>18.899999999999999</v>
      </c>
      <c r="T8" s="77">
        <v>2.9</v>
      </c>
      <c r="U8" s="77">
        <v>72.209999999999994</v>
      </c>
      <c r="V8" s="77">
        <v>13.92</v>
      </c>
      <c r="W8" s="77">
        <v>25.97</v>
      </c>
      <c r="X8" s="77">
        <v>74</v>
      </c>
      <c r="Y8" s="77" t="s">
        <v>107</v>
      </c>
      <c r="Z8" s="77" t="s">
        <v>93</v>
      </c>
      <c r="AA8" s="77">
        <v>1</v>
      </c>
      <c r="AB8" s="77">
        <v>0</v>
      </c>
      <c r="AC8" s="77">
        <v>0</v>
      </c>
    </row>
    <row r="9" spans="1:29" ht="24" x14ac:dyDescent="0.25">
      <c r="A9" s="78" t="s">
        <v>123</v>
      </c>
      <c r="B9" s="78" t="s">
        <v>124</v>
      </c>
      <c r="C9" s="78" t="s">
        <v>125</v>
      </c>
      <c r="D9" s="78" t="s">
        <v>59</v>
      </c>
      <c r="E9" s="78">
        <v>2001</v>
      </c>
      <c r="F9" s="78" t="s">
        <v>100</v>
      </c>
      <c r="G9" s="78">
        <v>126.1</v>
      </c>
      <c r="H9" s="78">
        <v>162.9</v>
      </c>
      <c r="I9" s="78">
        <v>36.799999999999997</v>
      </c>
      <c r="J9" s="78">
        <v>29.18</v>
      </c>
      <c r="K9" s="78" t="s">
        <v>25</v>
      </c>
      <c r="L9" s="78">
        <v>475.2</v>
      </c>
      <c r="M9" s="78">
        <v>300.5</v>
      </c>
      <c r="N9" s="78">
        <v>90.4</v>
      </c>
      <c r="O9" s="78">
        <v>84.3</v>
      </c>
      <c r="P9" s="78"/>
      <c r="Q9" s="78">
        <v>63.2</v>
      </c>
      <c r="R9" s="78">
        <v>19</v>
      </c>
      <c r="S9" s="78">
        <v>17.7</v>
      </c>
      <c r="T9" s="78"/>
      <c r="U9" s="78">
        <v>27.28</v>
      </c>
      <c r="V9" s="78">
        <v>3.09</v>
      </c>
      <c r="W9" s="78">
        <v>6.77</v>
      </c>
      <c r="X9" s="78">
        <v>9</v>
      </c>
      <c r="Y9" s="78" t="s">
        <v>101</v>
      </c>
      <c r="Z9" s="78" t="s">
        <v>93</v>
      </c>
      <c r="AA9" s="78">
        <v>1</v>
      </c>
      <c r="AB9" s="78">
        <v>0</v>
      </c>
      <c r="AC9" s="78">
        <v>0</v>
      </c>
    </row>
    <row r="10" spans="1:29" ht="24" x14ac:dyDescent="0.25">
      <c r="A10" s="77" t="s">
        <v>126</v>
      </c>
      <c r="B10" s="77" t="s">
        <v>127</v>
      </c>
      <c r="C10" s="77" t="s">
        <v>128</v>
      </c>
      <c r="D10" s="77" t="s">
        <v>57</v>
      </c>
      <c r="E10" s="77">
        <v>2011</v>
      </c>
      <c r="F10" s="77" t="s">
        <v>129</v>
      </c>
      <c r="G10" s="77">
        <v>213.5</v>
      </c>
      <c r="H10" s="77">
        <v>224.35</v>
      </c>
      <c r="I10" s="77">
        <v>10.85</v>
      </c>
      <c r="J10" s="77">
        <v>5.08</v>
      </c>
      <c r="K10" s="77" t="s">
        <v>24</v>
      </c>
      <c r="L10" s="77">
        <v>327.2</v>
      </c>
      <c r="M10" s="77">
        <v>200.4</v>
      </c>
      <c r="N10" s="77">
        <v>101.95</v>
      </c>
      <c r="O10" s="77">
        <v>12.4</v>
      </c>
      <c r="P10" s="77">
        <v>12.4</v>
      </c>
      <c r="Q10" s="77">
        <v>61.2</v>
      </c>
      <c r="R10" s="77">
        <v>31.2</v>
      </c>
      <c r="S10" s="77">
        <v>3.8</v>
      </c>
      <c r="T10" s="77">
        <v>3.8</v>
      </c>
      <c r="U10" s="77">
        <v>9.76</v>
      </c>
      <c r="V10" s="77">
        <v>1.27</v>
      </c>
      <c r="W10" s="77">
        <v>4.92</v>
      </c>
      <c r="X10" s="77">
        <v>2</v>
      </c>
      <c r="Y10" s="77" t="s">
        <v>101</v>
      </c>
      <c r="Z10" s="77" t="s">
        <v>93</v>
      </c>
      <c r="AA10" s="77">
        <v>1</v>
      </c>
      <c r="AB10" s="77">
        <v>0</v>
      </c>
      <c r="AC10" s="77">
        <v>0</v>
      </c>
    </row>
    <row r="11" spans="1:29" ht="24" x14ac:dyDescent="0.25">
      <c r="A11" s="78" t="s">
        <v>130</v>
      </c>
      <c r="B11" s="78" t="s">
        <v>131</v>
      </c>
      <c r="C11" s="78" t="s">
        <v>128</v>
      </c>
      <c r="D11" s="78" t="s">
        <v>57</v>
      </c>
      <c r="E11" s="78">
        <v>2011</v>
      </c>
      <c r="F11" s="78" t="s">
        <v>129</v>
      </c>
      <c r="G11" s="78">
        <v>213.5</v>
      </c>
      <c r="H11" s="78">
        <v>224.35</v>
      </c>
      <c r="I11" s="78">
        <v>10.85</v>
      </c>
      <c r="J11" s="78">
        <v>5.08</v>
      </c>
      <c r="K11" s="78" t="s">
        <v>24</v>
      </c>
      <c r="L11" s="78">
        <v>327.2</v>
      </c>
      <c r="M11" s="78">
        <v>200.4</v>
      </c>
      <c r="N11" s="78">
        <v>101.95</v>
      </c>
      <c r="O11" s="78">
        <v>12.4</v>
      </c>
      <c r="P11" s="78">
        <v>12.4</v>
      </c>
      <c r="Q11" s="78">
        <v>61.2</v>
      </c>
      <c r="R11" s="78">
        <v>31.2</v>
      </c>
      <c r="S11" s="78">
        <v>3.8</v>
      </c>
      <c r="T11" s="78">
        <v>3.8</v>
      </c>
      <c r="U11" s="78">
        <v>9.76</v>
      </c>
      <c r="V11" s="78">
        <v>1.27</v>
      </c>
      <c r="W11" s="78">
        <v>4.92</v>
      </c>
      <c r="X11" s="78">
        <v>2</v>
      </c>
      <c r="Y11" s="78" t="s">
        <v>101</v>
      </c>
      <c r="Z11" s="78" t="s">
        <v>93</v>
      </c>
      <c r="AA11" s="78">
        <v>1</v>
      </c>
      <c r="AB11" s="78">
        <v>0</v>
      </c>
      <c r="AC11" s="78">
        <v>0</v>
      </c>
    </row>
    <row r="12" spans="1:29" ht="24" x14ac:dyDescent="0.25">
      <c r="A12" s="77" t="s">
        <v>132</v>
      </c>
      <c r="B12" s="77" t="s">
        <v>133</v>
      </c>
      <c r="C12" s="77" t="s">
        <v>122</v>
      </c>
      <c r="D12" s="77" t="s">
        <v>57</v>
      </c>
      <c r="E12" s="77">
        <v>2006</v>
      </c>
      <c r="F12" s="77" t="s">
        <v>100</v>
      </c>
      <c r="G12" s="77">
        <v>700</v>
      </c>
      <c r="H12" s="77">
        <v>1114.0999999999999</v>
      </c>
      <c r="I12" s="77">
        <v>414.1</v>
      </c>
      <c r="J12" s="77">
        <v>59.16</v>
      </c>
      <c r="K12" s="77" t="s">
        <v>26</v>
      </c>
      <c r="L12" s="77">
        <v>1669.8</v>
      </c>
      <c r="M12" s="77">
        <v>995.9</v>
      </c>
      <c r="N12" s="77">
        <v>254.1</v>
      </c>
      <c r="O12" s="77">
        <v>208</v>
      </c>
      <c r="P12" s="77">
        <v>211.8</v>
      </c>
      <c r="Q12" s="77">
        <v>59.6</v>
      </c>
      <c r="R12" s="77">
        <v>15.2</v>
      </c>
      <c r="S12" s="77">
        <v>12.5</v>
      </c>
      <c r="T12" s="77">
        <v>12.7</v>
      </c>
      <c r="U12" s="77">
        <v>14.92</v>
      </c>
      <c r="V12" s="77">
        <v>13.94</v>
      </c>
      <c r="W12" s="77">
        <v>19.96</v>
      </c>
      <c r="X12" s="77">
        <v>26</v>
      </c>
      <c r="Y12" s="77" t="s">
        <v>107</v>
      </c>
      <c r="Z12" s="77" t="s">
        <v>93</v>
      </c>
      <c r="AA12" s="77">
        <v>1</v>
      </c>
      <c r="AB12" s="77">
        <v>0</v>
      </c>
      <c r="AC12" s="77">
        <v>0</v>
      </c>
    </row>
    <row r="13" spans="1:29" ht="24" x14ac:dyDescent="0.25">
      <c r="A13" s="78" t="s">
        <v>134</v>
      </c>
      <c r="B13" s="78" t="s">
        <v>104</v>
      </c>
      <c r="C13" s="78" t="s">
        <v>128</v>
      </c>
      <c r="D13" s="78" t="s">
        <v>57</v>
      </c>
      <c r="E13" s="78">
        <v>2013</v>
      </c>
      <c r="F13" s="78" t="s">
        <v>129</v>
      </c>
      <c r="G13" s="78">
        <v>262.89999999999998</v>
      </c>
      <c r="H13" s="78">
        <v>279.2</v>
      </c>
      <c r="I13" s="78">
        <v>16.3</v>
      </c>
      <c r="J13" s="78">
        <v>6.2</v>
      </c>
      <c r="K13" s="78" t="s">
        <v>24</v>
      </c>
      <c r="L13" s="78">
        <v>365.8</v>
      </c>
      <c r="M13" s="78">
        <v>269.8</v>
      </c>
      <c r="N13" s="78">
        <v>75.5</v>
      </c>
      <c r="O13" s="78">
        <v>14</v>
      </c>
      <c r="P13" s="78">
        <v>6.5</v>
      </c>
      <c r="Q13" s="78">
        <v>73.8</v>
      </c>
      <c r="R13" s="78">
        <v>20.6</v>
      </c>
      <c r="S13" s="78">
        <v>3.8</v>
      </c>
      <c r="T13" s="78">
        <v>1.8</v>
      </c>
      <c r="U13" s="78">
        <v>22.95</v>
      </c>
      <c r="V13" s="78">
        <v>0.61</v>
      </c>
      <c r="W13" s="78">
        <v>6.05</v>
      </c>
      <c r="X13" s="78">
        <v>12</v>
      </c>
      <c r="Y13" s="78" t="s">
        <v>101</v>
      </c>
      <c r="Z13" s="78" t="s">
        <v>93</v>
      </c>
      <c r="AA13" s="78">
        <v>1</v>
      </c>
      <c r="AB13" s="78">
        <v>0</v>
      </c>
      <c r="AC13" s="78">
        <v>0</v>
      </c>
    </row>
    <row r="14" spans="1:29" ht="24" x14ac:dyDescent="0.25">
      <c r="A14" s="77" t="s">
        <v>135</v>
      </c>
      <c r="B14" s="77" t="s">
        <v>136</v>
      </c>
      <c r="C14" s="77" t="s">
        <v>122</v>
      </c>
      <c r="D14" s="77" t="s">
        <v>58</v>
      </c>
      <c r="E14" s="77">
        <v>2021</v>
      </c>
      <c r="F14" s="77" t="s">
        <v>115</v>
      </c>
      <c r="G14" s="77">
        <v>990</v>
      </c>
      <c r="H14" s="77">
        <v>999.2</v>
      </c>
      <c r="I14" s="77">
        <v>9.1999999999999993</v>
      </c>
      <c r="J14" s="77">
        <v>0.93</v>
      </c>
      <c r="K14" s="77" t="s">
        <v>24</v>
      </c>
      <c r="L14" s="77">
        <v>1089.5999999999999</v>
      </c>
      <c r="M14" s="77">
        <v>594.1</v>
      </c>
      <c r="N14" s="77">
        <v>167.4</v>
      </c>
      <c r="O14" s="77">
        <v>328.1</v>
      </c>
      <c r="P14" s="77"/>
      <c r="Q14" s="77">
        <v>54.5</v>
      </c>
      <c r="R14" s="77">
        <v>15.4</v>
      </c>
      <c r="S14" s="77">
        <v>30.1</v>
      </c>
      <c r="T14" s="77"/>
      <c r="U14" s="77">
        <v>93.74</v>
      </c>
      <c r="V14" s="77">
        <v>3.5</v>
      </c>
      <c r="W14" s="77">
        <v>8.2799999999999994</v>
      </c>
      <c r="X14" s="77">
        <v>0</v>
      </c>
      <c r="Y14" s="77" t="s">
        <v>120</v>
      </c>
      <c r="Z14" s="77" t="s">
        <v>102</v>
      </c>
      <c r="AA14" s="77">
        <v>0</v>
      </c>
      <c r="AB14" s="77">
        <v>0</v>
      </c>
      <c r="AC14" s="77">
        <v>1</v>
      </c>
    </row>
    <row r="15" spans="1:29" ht="24" x14ac:dyDescent="0.25">
      <c r="A15" s="78" t="s">
        <v>137</v>
      </c>
      <c r="B15" s="78" t="s">
        <v>138</v>
      </c>
      <c r="C15" s="78" t="s">
        <v>128</v>
      </c>
      <c r="D15" s="78" t="s">
        <v>57</v>
      </c>
      <c r="E15" s="78">
        <v>1998</v>
      </c>
      <c r="F15" s="78" t="s">
        <v>106</v>
      </c>
      <c r="G15" s="78">
        <v>61.3</v>
      </c>
      <c r="H15" s="78">
        <v>61.7</v>
      </c>
      <c r="I15" s="78">
        <v>0.4</v>
      </c>
      <c r="J15" s="78">
        <v>0.65</v>
      </c>
      <c r="K15" s="78" t="s">
        <v>24</v>
      </c>
      <c r="L15" s="78">
        <v>125.2</v>
      </c>
      <c r="M15" s="78">
        <v>60.2</v>
      </c>
      <c r="N15" s="78">
        <v>51.1</v>
      </c>
      <c r="O15" s="78">
        <v>9.8000000000000007</v>
      </c>
      <c r="P15" s="78">
        <v>4.0999999999999996</v>
      </c>
      <c r="Q15" s="78">
        <v>48.1</v>
      </c>
      <c r="R15" s="78">
        <v>40.799999999999997</v>
      </c>
      <c r="S15" s="78">
        <v>7.8</v>
      </c>
      <c r="T15" s="78">
        <v>3.3</v>
      </c>
      <c r="U15" s="78">
        <v>6.28</v>
      </c>
      <c r="V15" s="78">
        <v>1.56</v>
      </c>
      <c r="W15" s="78">
        <v>4.42</v>
      </c>
      <c r="X15" s="78">
        <v>4</v>
      </c>
      <c r="Y15" s="78" t="s">
        <v>101</v>
      </c>
      <c r="Z15" s="78" t="s">
        <v>93</v>
      </c>
      <c r="AA15" s="78">
        <v>1</v>
      </c>
      <c r="AB15" s="78">
        <v>0</v>
      </c>
      <c r="AC15" s="78">
        <v>0</v>
      </c>
    </row>
    <row r="16" spans="1:29" ht="24" x14ac:dyDescent="0.25">
      <c r="A16" s="77" t="s">
        <v>139</v>
      </c>
      <c r="B16" s="77" t="s">
        <v>140</v>
      </c>
      <c r="C16" s="77" t="s">
        <v>99</v>
      </c>
      <c r="D16" s="77" t="s">
        <v>57</v>
      </c>
      <c r="E16" s="77">
        <v>1999</v>
      </c>
      <c r="F16" s="77" t="s">
        <v>106</v>
      </c>
      <c r="G16" s="77">
        <v>183.6</v>
      </c>
      <c r="H16" s="77">
        <v>183.25</v>
      </c>
      <c r="I16" s="77">
        <v>-0.35</v>
      </c>
      <c r="J16" s="77">
        <v>-0.19</v>
      </c>
      <c r="K16" s="77" t="s">
        <v>23</v>
      </c>
      <c r="L16" s="77">
        <v>285.60000000000002</v>
      </c>
      <c r="M16" s="77">
        <v>183.25</v>
      </c>
      <c r="N16" s="77">
        <v>87.3</v>
      </c>
      <c r="O16" s="77">
        <v>15.05</v>
      </c>
      <c r="P16" s="77"/>
      <c r="Q16" s="77">
        <v>64.2</v>
      </c>
      <c r="R16" s="77">
        <v>30.6</v>
      </c>
      <c r="S16" s="77">
        <v>5.3</v>
      </c>
      <c r="T16" s="77"/>
      <c r="U16" s="77">
        <v>19.29</v>
      </c>
      <c r="V16" s="77">
        <v>0.78</v>
      </c>
      <c r="W16" s="77">
        <v>3.89</v>
      </c>
      <c r="X16" s="77">
        <v>0</v>
      </c>
      <c r="Y16" s="77" t="s">
        <v>120</v>
      </c>
      <c r="Z16" s="77" t="s">
        <v>111</v>
      </c>
      <c r="AA16" s="77">
        <v>0</v>
      </c>
      <c r="AB16" s="77">
        <v>1</v>
      </c>
      <c r="AC16" s="77">
        <v>0</v>
      </c>
    </row>
    <row r="17" spans="1:29" ht="24" x14ac:dyDescent="0.25">
      <c r="A17" s="78" t="s">
        <v>141</v>
      </c>
      <c r="B17" s="78" t="s">
        <v>104</v>
      </c>
      <c r="C17" s="78" t="s">
        <v>99</v>
      </c>
      <c r="D17" s="78" t="s">
        <v>57</v>
      </c>
      <c r="E17" s="78">
        <v>1996</v>
      </c>
      <c r="F17" s="78" t="s">
        <v>106</v>
      </c>
      <c r="G17" s="78">
        <v>140.19999999999999</v>
      </c>
      <c r="H17" s="78">
        <v>130.69999999999999</v>
      </c>
      <c r="I17" s="78">
        <v>-9.5</v>
      </c>
      <c r="J17" s="78">
        <v>-6.78</v>
      </c>
      <c r="K17" s="78" t="s">
        <v>23</v>
      </c>
      <c r="L17" s="78">
        <v>579.6</v>
      </c>
      <c r="M17" s="78">
        <v>263.89999999999998</v>
      </c>
      <c r="N17" s="78">
        <v>105.2</v>
      </c>
      <c r="O17" s="78">
        <v>138.19999999999999</v>
      </c>
      <c r="P17" s="78">
        <v>72.3</v>
      </c>
      <c r="Q17" s="78">
        <v>45.5</v>
      </c>
      <c r="R17" s="78">
        <v>18.2</v>
      </c>
      <c r="S17" s="78">
        <v>23.8</v>
      </c>
      <c r="T17" s="78">
        <v>12.5</v>
      </c>
      <c r="U17" s="78">
        <v>13.85</v>
      </c>
      <c r="V17" s="78">
        <v>9.98</v>
      </c>
      <c r="W17" s="78">
        <v>12.09</v>
      </c>
      <c r="X17" s="78">
        <v>-1</v>
      </c>
      <c r="Y17" s="78" t="s">
        <v>142</v>
      </c>
      <c r="Z17" s="78" t="s">
        <v>93</v>
      </c>
      <c r="AA17" s="78">
        <v>1</v>
      </c>
      <c r="AB17" s="78">
        <v>0</v>
      </c>
      <c r="AC17" s="78">
        <v>0</v>
      </c>
    </row>
    <row r="18" spans="1:29" ht="24" x14ac:dyDescent="0.25">
      <c r="A18" s="77" t="s">
        <v>143</v>
      </c>
      <c r="B18" s="77" t="s">
        <v>104</v>
      </c>
      <c r="C18" s="77" t="s">
        <v>99</v>
      </c>
      <c r="D18" s="77" t="s">
        <v>57</v>
      </c>
      <c r="E18" s="77">
        <v>1992</v>
      </c>
      <c r="F18" s="77" t="s">
        <v>106</v>
      </c>
      <c r="G18" s="77">
        <v>458.6</v>
      </c>
      <c r="H18" s="77">
        <v>511.2</v>
      </c>
      <c r="I18" s="77">
        <v>52.6</v>
      </c>
      <c r="J18" s="77">
        <v>11.47</v>
      </c>
      <c r="K18" s="77" t="s">
        <v>24</v>
      </c>
      <c r="L18" s="77">
        <v>2092.6999999999998</v>
      </c>
      <c r="M18" s="77">
        <v>1309.3</v>
      </c>
      <c r="N18" s="77">
        <v>736.2</v>
      </c>
      <c r="O18" s="77">
        <v>47.2</v>
      </c>
      <c r="P18" s="77"/>
      <c r="Q18" s="77">
        <v>62.6</v>
      </c>
      <c r="R18" s="77">
        <v>35.200000000000003</v>
      </c>
      <c r="S18" s="77">
        <v>2.2999999999999998</v>
      </c>
      <c r="T18" s="77"/>
      <c r="U18" s="77">
        <v>52.44</v>
      </c>
      <c r="V18" s="77">
        <v>0.9</v>
      </c>
      <c r="W18" s="77">
        <v>4.97</v>
      </c>
      <c r="X18" s="77">
        <v>0</v>
      </c>
      <c r="Y18" s="77" t="s">
        <v>120</v>
      </c>
      <c r="Z18" s="77" t="s">
        <v>111</v>
      </c>
      <c r="AA18" s="77">
        <v>0</v>
      </c>
      <c r="AB18" s="77">
        <v>1</v>
      </c>
      <c r="AC18" s="77">
        <v>0</v>
      </c>
    </row>
    <row r="19" spans="1:29" ht="24" x14ac:dyDescent="0.25">
      <c r="A19" s="78" t="s">
        <v>144</v>
      </c>
      <c r="B19" s="78" t="s">
        <v>104</v>
      </c>
      <c r="C19" s="78" t="s">
        <v>99</v>
      </c>
      <c r="D19" s="78" t="s">
        <v>57</v>
      </c>
      <c r="E19" s="78">
        <v>1999</v>
      </c>
      <c r="F19" s="78" t="s">
        <v>106</v>
      </c>
      <c r="G19" s="78">
        <v>334.4</v>
      </c>
      <c r="H19" s="78">
        <v>450</v>
      </c>
      <c r="I19" s="78">
        <v>115.6</v>
      </c>
      <c r="J19" s="78">
        <v>34.57</v>
      </c>
      <c r="K19" s="78" t="s">
        <v>25</v>
      </c>
      <c r="L19" s="78">
        <v>1531.4</v>
      </c>
      <c r="M19" s="78">
        <v>681.6</v>
      </c>
      <c r="N19" s="78">
        <v>142.1</v>
      </c>
      <c r="O19" s="78">
        <v>243.8</v>
      </c>
      <c r="P19" s="78">
        <v>463.9</v>
      </c>
      <c r="Q19" s="78">
        <v>44.5</v>
      </c>
      <c r="R19" s="78">
        <v>9.3000000000000007</v>
      </c>
      <c r="S19" s="78">
        <v>15.9</v>
      </c>
      <c r="T19" s="78">
        <v>30.3</v>
      </c>
      <c r="U19" s="78">
        <v>13.11</v>
      </c>
      <c r="V19" s="78">
        <v>18.600000000000001</v>
      </c>
      <c r="W19" s="78">
        <v>22.45</v>
      </c>
      <c r="X19" s="78">
        <v>1</v>
      </c>
      <c r="Y19" s="78" t="s">
        <v>101</v>
      </c>
      <c r="Z19" s="78" t="s">
        <v>93</v>
      </c>
      <c r="AA19" s="78">
        <v>1</v>
      </c>
      <c r="AB19" s="78">
        <v>0</v>
      </c>
      <c r="AC19" s="78">
        <v>0</v>
      </c>
    </row>
    <row r="20" spans="1:29" x14ac:dyDescent="0.25">
      <c r="A20" s="77" t="s">
        <v>145</v>
      </c>
      <c r="B20" s="77" t="s">
        <v>146</v>
      </c>
      <c r="C20" s="77" t="s">
        <v>99</v>
      </c>
      <c r="D20" s="77" t="s">
        <v>57</v>
      </c>
      <c r="E20" s="77">
        <v>2013</v>
      </c>
      <c r="F20" s="77" t="s">
        <v>129</v>
      </c>
      <c r="G20" s="77">
        <v>567.20000000000005</v>
      </c>
      <c r="H20" s="77">
        <v>551.1</v>
      </c>
      <c r="I20" s="77">
        <v>-16.100000000000001</v>
      </c>
      <c r="J20" s="77">
        <v>-2.84</v>
      </c>
      <c r="K20" s="77" t="s">
        <v>23</v>
      </c>
      <c r="L20" s="77">
        <v>942.5</v>
      </c>
      <c r="M20" s="77">
        <v>499.5</v>
      </c>
      <c r="N20" s="77">
        <v>218.1</v>
      </c>
      <c r="O20" s="77">
        <v>33</v>
      </c>
      <c r="P20" s="77">
        <v>191.9</v>
      </c>
      <c r="Q20" s="77">
        <v>53</v>
      </c>
      <c r="R20" s="77">
        <v>23.1</v>
      </c>
      <c r="S20" s="77">
        <v>3.5</v>
      </c>
      <c r="T20" s="77">
        <v>20.399999999999999</v>
      </c>
      <c r="U20" s="77">
        <v>3.19</v>
      </c>
      <c r="V20" s="77">
        <v>10.33</v>
      </c>
      <c r="W20" s="77">
        <v>15.5</v>
      </c>
      <c r="X20" s="77">
        <v>0</v>
      </c>
      <c r="Y20" s="77" t="s">
        <v>120</v>
      </c>
      <c r="Z20" s="77" t="s">
        <v>102</v>
      </c>
      <c r="AA20" s="77">
        <v>0</v>
      </c>
      <c r="AB20" s="77">
        <v>0</v>
      </c>
      <c r="AC20" s="77">
        <v>1</v>
      </c>
    </row>
    <row r="21" spans="1:29" ht="24" x14ac:dyDescent="0.25">
      <c r="A21" s="78" t="s">
        <v>147</v>
      </c>
      <c r="B21" s="78" t="s">
        <v>148</v>
      </c>
      <c r="C21" s="78" t="s">
        <v>149</v>
      </c>
      <c r="D21" s="78" t="s">
        <v>57</v>
      </c>
      <c r="E21" s="78">
        <v>2004</v>
      </c>
      <c r="F21" s="78" t="s">
        <v>100</v>
      </c>
      <c r="G21" s="78">
        <v>326.2</v>
      </c>
      <c r="H21" s="78">
        <v>390</v>
      </c>
      <c r="I21" s="78">
        <v>63.8</v>
      </c>
      <c r="J21" s="78">
        <v>19.559999999999999</v>
      </c>
      <c r="K21" s="78" t="s">
        <v>24</v>
      </c>
      <c r="L21" s="78">
        <v>710.3</v>
      </c>
      <c r="M21" s="78">
        <v>363.3</v>
      </c>
      <c r="N21" s="78">
        <v>115.2</v>
      </c>
      <c r="O21" s="78">
        <v>145.69999999999999</v>
      </c>
      <c r="P21" s="78">
        <v>86.1</v>
      </c>
      <c r="Q21" s="78">
        <v>51.1</v>
      </c>
      <c r="R21" s="78">
        <v>16.2</v>
      </c>
      <c r="S21" s="78">
        <v>20.5</v>
      </c>
      <c r="T21" s="78">
        <v>12.1</v>
      </c>
      <c r="U21" s="78">
        <v>13.57</v>
      </c>
      <c r="V21" s="78">
        <v>10.74</v>
      </c>
      <c r="W21" s="78">
        <v>15.33</v>
      </c>
      <c r="X21" s="78">
        <v>6</v>
      </c>
      <c r="Y21" s="78" t="s">
        <v>101</v>
      </c>
      <c r="Z21" s="78" t="s">
        <v>93</v>
      </c>
      <c r="AA21" s="78">
        <v>1</v>
      </c>
      <c r="AB21" s="78">
        <v>0</v>
      </c>
      <c r="AC21" s="78">
        <v>0</v>
      </c>
    </row>
    <row r="22" spans="1:29" ht="24" x14ac:dyDescent="0.25">
      <c r="A22" s="77" t="s">
        <v>150</v>
      </c>
      <c r="B22" s="77" t="s">
        <v>151</v>
      </c>
      <c r="C22" s="77" t="s">
        <v>99</v>
      </c>
      <c r="D22" s="77" t="s">
        <v>60</v>
      </c>
      <c r="E22" s="77">
        <v>2011</v>
      </c>
      <c r="F22" s="77" t="s">
        <v>129</v>
      </c>
      <c r="G22" s="77">
        <v>1068.5</v>
      </c>
      <c r="H22" s="77">
        <v>2337.1</v>
      </c>
      <c r="I22" s="77">
        <v>1268.5999999999999</v>
      </c>
      <c r="J22" s="77">
        <v>118.73</v>
      </c>
      <c r="K22" s="77" t="s">
        <v>26</v>
      </c>
      <c r="L22" s="77">
        <v>4197.7</v>
      </c>
      <c r="M22" s="77">
        <v>3068.5</v>
      </c>
      <c r="N22" s="77">
        <v>255.7</v>
      </c>
      <c r="O22" s="77">
        <v>266.7</v>
      </c>
      <c r="P22" s="77">
        <v>606.79999999999995</v>
      </c>
      <c r="Q22" s="77">
        <v>73.099999999999994</v>
      </c>
      <c r="R22" s="77">
        <v>6.1</v>
      </c>
      <c r="S22" s="77">
        <v>6.4</v>
      </c>
      <c r="T22" s="77">
        <v>14.5</v>
      </c>
      <c r="U22" s="77">
        <v>21.67</v>
      </c>
      <c r="V22" s="77">
        <v>12.31</v>
      </c>
      <c r="W22" s="77">
        <v>18.29</v>
      </c>
      <c r="X22" s="77">
        <v>25</v>
      </c>
      <c r="Y22" s="77" t="s">
        <v>107</v>
      </c>
      <c r="Z22" s="77" t="s">
        <v>102</v>
      </c>
      <c r="AA22" s="77">
        <v>0</v>
      </c>
      <c r="AB22" s="77">
        <v>0</v>
      </c>
      <c r="AC22" s="77">
        <v>1</v>
      </c>
    </row>
    <row r="23" spans="1:29" ht="24" x14ac:dyDescent="0.25">
      <c r="A23" s="78" t="s">
        <v>152</v>
      </c>
      <c r="B23" s="78" t="s">
        <v>153</v>
      </c>
      <c r="C23" s="78" t="s">
        <v>114</v>
      </c>
      <c r="D23" s="78" t="s">
        <v>57</v>
      </c>
      <c r="E23" s="78">
        <v>1996</v>
      </c>
      <c r="F23" s="78" t="s">
        <v>106</v>
      </c>
      <c r="G23" s="78">
        <v>249.4</v>
      </c>
      <c r="H23" s="78">
        <v>230.8</v>
      </c>
      <c r="I23" s="78">
        <v>-18.600000000000001</v>
      </c>
      <c r="J23" s="78">
        <v>-7.46</v>
      </c>
      <c r="K23" s="78" t="s">
        <v>23</v>
      </c>
      <c r="L23" s="78">
        <v>462.8</v>
      </c>
      <c r="M23" s="78">
        <v>257.89999999999998</v>
      </c>
      <c r="N23" s="78">
        <v>90.9</v>
      </c>
      <c r="O23" s="78">
        <v>114</v>
      </c>
      <c r="P23" s="78"/>
      <c r="Q23" s="78">
        <v>55.7</v>
      </c>
      <c r="R23" s="78">
        <v>19.600000000000001</v>
      </c>
      <c r="S23" s="78">
        <v>24.6</v>
      </c>
      <c r="T23" s="78"/>
      <c r="U23" s="78">
        <v>22.66</v>
      </c>
      <c r="V23" s="78">
        <v>5.03</v>
      </c>
      <c r="W23" s="78">
        <v>7.16</v>
      </c>
      <c r="X23" s="78">
        <v>-1</v>
      </c>
      <c r="Y23" s="78" t="s">
        <v>142</v>
      </c>
      <c r="Z23" s="78" t="s">
        <v>93</v>
      </c>
      <c r="AA23" s="78">
        <v>1</v>
      </c>
      <c r="AB23" s="78">
        <v>0</v>
      </c>
      <c r="AC23" s="78">
        <v>0</v>
      </c>
    </row>
    <row r="24" spans="1:29" x14ac:dyDescent="0.25">
      <c r="A24" s="77" t="s">
        <v>154</v>
      </c>
      <c r="B24" s="77" t="s">
        <v>155</v>
      </c>
      <c r="C24" s="77" t="s">
        <v>114</v>
      </c>
      <c r="D24" s="77" t="s">
        <v>59</v>
      </c>
      <c r="E24" s="77">
        <v>2016</v>
      </c>
      <c r="F24" s="77" t="s">
        <v>129</v>
      </c>
      <c r="G24" s="77">
        <v>865.9</v>
      </c>
      <c r="H24" s="77">
        <v>775.1</v>
      </c>
      <c r="I24" s="77">
        <v>-90.8</v>
      </c>
      <c r="J24" s="77">
        <v>-10.49</v>
      </c>
      <c r="K24" s="77" t="s">
        <v>23</v>
      </c>
      <c r="L24" s="77">
        <v>1350.7</v>
      </c>
      <c r="M24" s="77">
        <v>747.5</v>
      </c>
      <c r="N24" s="77">
        <v>224.5</v>
      </c>
      <c r="O24" s="77">
        <v>275.39999999999998</v>
      </c>
      <c r="P24" s="77">
        <v>103.3</v>
      </c>
      <c r="Q24" s="77">
        <v>55.3</v>
      </c>
      <c r="R24" s="77">
        <v>16.600000000000001</v>
      </c>
      <c r="S24" s="77">
        <v>20.399999999999999</v>
      </c>
      <c r="T24" s="77">
        <v>7.6</v>
      </c>
      <c r="U24" s="77">
        <v>36.619999999999997</v>
      </c>
      <c r="V24" s="77">
        <v>7.52</v>
      </c>
      <c r="W24" s="77">
        <v>11.88</v>
      </c>
      <c r="X24" s="77">
        <v>0</v>
      </c>
      <c r="Y24" s="77" t="s">
        <v>120</v>
      </c>
      <c r="Z24" s="77" t="s">
        <v>102</v>
      </c>
      <c r="AA24" s="77">
        <v>0</v>
      </c>
      <c r="AB24" s="77">
        <v>0</v>
      </c>
      <c r="AC24" s="77">
        <v>1</v>
      </c>
    </row>
    <row r="25" spans="1:29" ht="24" x14ac:dyDescent="0.25">
      <c r="A25" s="78" t="s">
        <v>156</v>
      </c>
      <c r="B25" s="78" t="s">
        <v>157</v>
      </c>
      <c r="C25" s="78" t="s">
        <v>158</v>
      </c>
      <c r="D25" s="78" t="s">
        <v>57</v>
      </c>
      <c r="E25" s="78">
        <v>2023</v>
      </c>
      <c r="F25" s="78" t="s">
        <v>115</v>
      </c>
      <c r="G25" s="78">
        <v>925</v>
      </c>
      <c r="H25" s="78">
        <v>1108.0999999999999</v>
      </c>
      <c r="I25" s="78">
        <v>183.1</v>
      </c>
      <c r="J25" s="78">
        <v>19.79</v>
      </c>
      <c r="K25" s="78" t="s">
        <v>24</v>
      </c>
      <c r="L25" s="78">
        <v>1202.7</v>
      </c>
      <c r="M25" s="78">
        <v>935.9</v>
      </c>
      <c r="N25" s="78">
        <v>115.9</v>
      </c>
      <c r="O25" s="78">
        <v>150.9</v>
      </c>
      <c r="P25" s="78"/>
      <c r="Q25" s="78">
        <v>77.8</v>
      </c>
      <c r="R25" s="78">
        <v>9.6</v>
      </c>
      <c r="S25" s="78">
        <v>12.5</v>
      </c>
      <c r="T25" s="78"/>
      <c r="U25" s="78">
        <v>350.93</v>
      </c>
      <c r="V25" s="78">
        <v>0.43</v>
      </c>
      <c r="W25" s="78">
        <v>5.88</v>
      </c>
      <c r="X25" s="78">
        <v>13</v>
      </c>
      <c r="Y25" s="78" t="s">
        <v>107</v>
      </c>
      <c r="Z25" s="78" t="s">
        <v>102</v>
      </c>
      <c r="AA25" s="78">
        <v>0</v>
      </c>
      <c r="AB25" s="78">
        <v>0</v>
      </c>
      <c r="AC25" s="78">
        <v>1</v>
      </c>
    </row>
    <row r="26" spans="1:29" ht="24" x14ac:dyDescent="0.25">
      <c r="A26" s="77" t="s">
        <v>159</v>
      </c>
      <c r="B26" s="77" t="s">
        <v>160</v>
      </c>
      <c r="C26" s="77" t="s">
        <v>110</v>
      </c>
      <c r="D26" s="77" t="s">
        <v>59</v>
      </c>
      <c r="E26" s="77">
        <v>1999</v>
      </c>
      <c r="F26" s="77" t="s">
        <v>106</v>
      </c>
      <c r="G26" s="77">
        <v>117.8</v>
      </c>
      <c r="H26" s="77">
        <v>126.4</v>
      </c>
      <c r="I26" s="77">
        <v>8.6</v>
      </c>
      <c r="J26" s="77">
        <v>7.3</v>
      </c>
      <c r="K26" s="77" t="s">
        <v>24</v>
      </c>
      <c r="L26" s="77">
        <v>427.6</v>
      </c>
      <c r="M26" s="77">
        <v>244</v>
      </c>
      <c r="N26" s="77">
        <v>78</v>
      </c>
      <c r="O26" s="77">
        <v>54</v>
      </c>
      <c r="P26" s="77">
        <v>51.6</v>
      </c>
      <c r="Q26" s="77">
        <v>57.1</v>
      </c>
      <c r="R26" s="77">
        <v>18.2</v>
      </c>
      <c r="S26" s="77">
        <v>12.6</v>
      </c>
      <c r="T26" s="77">
        <v>12.1</v>
      </c>
      <c r="U26" s="77">
        <v>4.46</v>
      </c>
      <c r="V26" s="77">
        <v>12.12</v>
      </c>
      <c r="W26" s="77">
        <v>14.48</v>
      </c>
      <c r="X26" s="77">
        <v>0</v>
      </c>
      <c r="Y26" s="77" t="s">
        <v>120</v>
      </c>
      <c r="Z26" s="77" t="s">
        <v>93</v>
      </c>
      <c r="AA26" s="77">
        <v>1</v>
      </c>
      <c r="AB26" s="77">
        <v>0</v>
      </c>
      <c r="AC26" s="77">
        <v>0</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Q26"/>
  <sheetViews>
    <sheetView showGridLines="0" topLeftCell="AF1" zoomScaleNormal="100" workbookViewId="0"/>
  </sheetViews>
  <sheetFormatPr defaultColWidth="8.7109375" defaultRowHeight="15" x14ac:dyDescent="0.25"/>
  <cols>
    <col min="1" max="4" width="14" customWidth="1"/>
    <col min="5" max="5" width="16" customWidth="1"/>
    <col min="6" max="9" width="14" customWidth="1"/>
    <col min="10" max="10" width="16" customWidth="1"/>
    <col min="11" max="11" width="15" customWidth="1"/>
    <col min="12" max="12" width="14" customWidth="1"/>
    <col min="13" max="13" width="15" customWidth="1"/>
    <col min="14" max="14" width="19" customWidth="1"/>
    <col min="15" max="15" width="15" customWidth="1"/>
    <col min="16" max="16" width="26" customWidth="1"/>
    <col min="17" max="18" width="17" customWidth="1"/>
    <col min="19" max="19" width="20" customWidth="1"/>
    <col min="20" max="20" width="18" customWidth="1"/>
    <col min="21" max="23" width="14" customWidth="1"/>
    <col min="24" max="24" width="16" customWidth="1"/>
    <col min="25" max="26" width="14" customWidth="1"/>
    <col min="27" max="28" width="17" customWidth="1"/>
    <col min="29" max="30" width="16" customWidth="1"/>
    <col min="31" max="32" width="14" customWidth="1"/>
    <col min="33" max="33" width="20" customWidth="1"/>
    <col min="34" max="34" width="19" customWidth="1"/>
    <col min="35" max="35" width="30" customWidth="1"/>
    <col min="36" max="38" width="14" customWidth="1"/>
    <col min="39" max="39" width="20" customWidth="1"/>
    <col min="40" max="40" width="23" customWidth="1"/>
    <col min="41" max="41" width="31" customWidth="1"/>
    <col min="42" max="43" width="22" customWidth="1"/>
  </cols>
  <sheetData>
    <row r="1" spans="1:43" x14ac:dyDescent="0.25">
      <c r="A1" s="83" t="s">
        <v>68</v>
      </c>
      <c r="B1" s="4" t="s">
        <v>69</v>
      </c>
      <c r="C1" s="4" t="s">
        <v>70</v>
      </c>
      <c r="D1" s="4" t="s">
        <v>71</v>
      </c>
      <c r="E1" s="4" t="s">
        <v>161</v>
      </c>
      <c r="F1" s="4" t="s">
        <v>72</v>
      </c>
      <c r="G1" s="4" t="s">
        <v>93</v>
      </c>
      <c r="H1" s="4" t="s">
        <v>94</v>
      </c>
      <c r="I1" s="4" t="s">
        <v>95</v>
      </c>
      <c r="J1" s="4" t="s">
        <v>96</v>
      </c>
      <c r="K1" s="4" t="s">
        <v>74</v>
      </c>
      <c r="L1" s="4" t="s">
        <v>75</v>
      </c>
      <c r="M1" s="4" t="s">
        <v>76</v>
      </c>
      <c r="N1" s="4" t="s">
        <v>77</v>
      </c>
      <c r="O1" s="4" t="s">
        <v>78</v>
      </c>
      <c r="P1" s="4" t="s">
        <v>91</v>
      </c>
      <c r="Q1" s="4" t="s">
        <v>92</v>
      </c>
      <c r="R1" s="4" t="s">
        <v>162</v>
      </c>
      <c r="S1" s="4" t="s">
        <v>163</v>
      </c>
      <c r="T1" s="4" t="s">
        <v>164</v>
      </c>
      <c r="U1" s="4" t="s">
        <v>165</v>
      </c>
      <c r="V1" s="4" t="s">
        <v>166</v>
      </c>
      <c r="W1" s="4" t="s">
        <v>167</v>
      </c>
      <c r="X1" s="4" t="s">
        <v>168</v>
      </c>
      <c r="Y1" s="4" t="s">
        <v>169</v>
      </c>
      <c r="Z1" s="4" t="s">
        <v>170</v>
      </c>
      <c r="AA1" s="4" t="s">
        <v>171</v>
      </c>
      <c r="AB1" s="4" t="s">
        <v>172</v>
      </c>
      <c r="AC1" s="4" t="s">
        <v>173</v>
      </c>
      <c r="AD1" s="4" t="s">
        <v>174</v>
      </c>
      <c r="AE1" s="4" t="s">
        <v>175</v>
      </c>
      <c r="AF1" s="4" t="s">
        <v>176</v>
      </c>
      <c r="AG1" s="4" t="s">
        <v>177</v>
      </c>
      <c r="AH1" s="4" t="s">
        <v>178</v>
      </c>
      <c r="AI1" s="4" t="s">
        <v>179</v>
      </c>
      <c r="AJ1" s="4" t="s">
        <v>180</v>
      </c>
      <c r="AK1" s="4" t="s">
        <v>181</v>
      </c>
      <c r="AL1" s="4" t="s">
        <v>182</v>
      </c>
      <c r="AM1" s="4" t="s">
        <v>183</v>
      </c>
      <c r="AN1" s="4" t="s">
        <v>184</v>
      </c>
      <c r="AO1" s="4" t="s">
        <v>185</v>
      </c>
      <c r="AP1" s="4" t="s">
        <v>186</v>
      </c>
      <c r="AQ1" s="4" t="s">
        <v>89</v>
      </c>
    </row>
    <row r="2" spans="1:43" ht="24" x14ac:dyDescent="0.25">
      <c r="A2" s="77" t="s">
        <v>97</v>
      </c>
      <c r="B2" s="77" t="s">
        <v>98</v>
      </c>
      <c r="C2" s="77" t="s">
        <v>99</v>
      </c>
      <c r="D2" s="77" t="s">
        <v>57</v>
      </c>
      <c r="E2" s="77" t="s">
        <v>187</v>
      </c>
      <c r="F2" s="77">
        <v>2001</v>
      </c>
      <c r="G2" s="77" t="s">
        <v>102</v>
      </c>
      <c r="H2" s="77">
        <v>0</v>
      </c>
      <c r="I2" s="77">
        <v>0</v>
      </c>
      <c r="J2" s="77">
        <v>1</v>
      </c>
      <c r="K2" s="77">
        <v>267.2</v>
      </c>
      <c r="L2" s="77">
        <v>366.1</v>
      </c>
      <c r="M2" s="77">
        <v>98.9</v>
      </c>
      <c r="N2" s="77">
        <v>37.01</v>
      </c>
      <c r="O2" s="77" t="s">
        <v>25</v>
      </c>
      <c r="P2" s="77">
        <v>1</v>
      </c>
      <c r="Q2" s="77" t="s">
        <v>101</v>
      </c>
      <c r="R2" s="77">
        <v>182</v>
      </c>
      <c r="S2" s="77">
        <v>737</v>
      </c>
      <c r="T2" s="77">
        <v>1</v>
      </c>
      <c r="U2" s="77">
        <v>0</v>
      </c>
      <c r="V2" s="77">
        <v>0</v>
      </c>
      <c r="W2" s="77">
        <v>0</v>
      </c>
      <c r="X2" s="77">
        <v>0</v>
      </c>
      <c r="Y2" s="77">
        <v>1</v>
      </c>
      <c r="Z2" s="77">
        <v>0</v>
      </c>
      <c r="AA2" s="77">
        <v>2</v>
      </c>
      <c r="AB2" s="77">
        <v>3</v>
      </c>
      <c r="AC2" s="77">
        <v>6</v>
      </c>
      <c r="AD2" s="77">
        <v>758</v>
      </c>
      <c r="AE2" s="77">
        <v>376.3</v>
      </c>
      <c r="AF2" s="77">
        <v>348.7</v>
      </c>
      <c r="AG2" s="77">
        <v>44.5</v>
      </c>
      <c r="AH2" s="77">
        <v>46</v>
      </c>
      <c r="AI2" s="77">
        <v>11.83</v>
      </c>
      <c r="AJ2" s="77" t="s">
        <v>188</v>
      </c>
      <c r="AK2" s="77">
        <v>1500</v>
      </c>
      <c r="AL2" s="77"/>
      <c r="AM2" s="77">
        <v>58</v>
      </c>
      <c r="AN2" s="77"/>
      <c r="AO2" s="77"/>
      <c r="AP2" s="77">
        <v>3.67</v>
      </c>
      <c r="AQ2" s="77">
        <v>24.03</v>
      </c>
    </row>
    <row r="3" spans="1:43" ht="24" x14ac:dyDescent="0.25">
      <c r="A3" s="78" t="s">
        <v>103</v>
      </c>
      <c r="B3" s="78" t="s">
        <v>104</v>
      </c>
      <c r="C3" s="78" t="s">
        <v>105</v>
      </c>
      <c r="D3" s="78" t="s">
        <v>57</v>
      </c>
      <c r="E3" s="78" t="s">
        <v>189</v>
      </c>
      <c r="F3" s="78">
        <v>1992</v>
      </c>
      <c r="G3" s="78" t="s">
        <v>93</v>
      </c>
      <c r="H3" s="78">
        <v>1</v>
      </c>
      <c r="I3" s="78">
        <v>0</v>
      </c>
      <c r="J3" s="78">
        <v>0</v>
      </c>
      <c r="K3" s="78">
        <v>1436.4</v>
      </c>
      <c r="L3" s="78">
        <v>1375.9</v>
      </c>
      <c r="M3" s="78">
        <v>-60.5</v>
      </c>
      <c r="N3" s="78">
        <v>-4.21</v>
      </c>
      <c r="O3" s="78" t="s">
        <v>23</v>
      </c>
      <c r="P3" s="78">
        <v>18</v>
      </c>
      <c r="Q3" s="78" t="s">
        <v>107</v>
      </c>
      <c r="R3" s="78">
        <v>365</v>
      </c>
      <c r="S3" s="78">
        <v>867</v>
      </c>
      <c r="T3" s="78">
        <v>1</v>
      </c>
      <c r="U3" s="78">
        <v>0</v>
      </c>
      <c r="V3" s="78">
        <v>1</v>
      </c>
      <c r="W3" s="78">
        <v>0</v>
      </c>
      <c r="X3" s="78">
        <v>0</v>
      </c>
      <c r="Y3" s="78">
        <v>0</v>
      </c>
      <c r="Z3" s="78">
        <v>0</v>
      </c>
      <c r="AA3" s="78">
        <v>4</v>
      </c>
      <c r="AB3" s="78">
        <v>12</v>
      </c>
      <c r="AC3" s="78">
        <v>8</v>
      </c>
      <c r="AD3" s="78">
        <v>5712</v>
      </c>
      <c r="AE3" s="78">
        <v>2581</v>
      </c>
      <c r="AF3" s="78">
        <v>3132</v>
      </c>
      <c r="AG3" s="78">
        <v>236</v>
      </c>
      <c r="AH3" s="78">
        <v>54.83</v>
      </c>
      <c r="AI3" s="78">
        <v>9.14</v>
      </c>
      <c r="AJ3" s="78" t="s">
        <v>190</v>
      </c>
      <c r="AK3" s="78">
        <v>900</v>
      </c>
      <c r="AL3" s="78"/>
      <c r="AM3" s="78">
        <v>228</v>
      </c>
      <c r="AN3" s="78"/>
      <c r="AO3" s="78"/>
      <c r="AP3" s="78">
        <v>2.67</v>
      </c>
      <c r="AQ3" s="78">
        <v>19.920000000000002</v>
      </c>
    </row>
    <row r="4" spans="1:43" ht="24" x14ac:dyDescent="0.25">
      <c r="A4" s="77" t="s">
        <v>108</v>
      </c>
      <c r="B4" s="77" t="s">
        <v>109</v>
      </c>
      <c r="C4" s="77" t="s">
        <v>110</v>
      </c>
      <c r="D4" s="77" t="s">
        <v>58</v>
      </c>
      <c r="E4" s="77" t="s">
        <v>191</v>
      </c>
      <c r="F4" s="77">
        <v>2002</v>
      </c>
      <c r="G4" s="77" t="s">
        <v>111</v>
      </c>
      <c r="H4" s="77">
        <v>0</v>
      </c>
      <c r="I4" s="77">
        <v>1</v>
      </c>
      <c r="J4" s="77">
        <v>0</v>
      </c>
      <c r="K4" s="77">
        <v>69.099999999999994</v>
      </c>
      <c r="L4" s="77">
        <v>96.8</v>
      </c>
      <c r="M4" s="77">
        <v>27.7</v>
      </c>
      <c r="N4" s="77">
        <v>40.090000000000003</v>
      </c>
      <c r="O4" s="77" t="s">
        <v>25</v>
      </c>
      <c r="P4" s="77">
        <v>1</v>
      </c>
      <c r="Q4" s="77" t="s">
        <v>101</v>
      </c>
      <c r="R4" s="77">
        <v>316</v>
      </c>
      <c r="S4" s="77">
        <v>579</v>
      </c>
      <c r="T4" s="77">
        <v>1</v>
      </c>
      <c r="U4" s="77">
        <v>1</v>
      </c>
      <c r="V4" s="77">
        <v>0</v>
      </c>
      <c r="W4" s="77">
        <v>0</v>
      </c>
      <c r="X4" s="77">
        <v>0</v>
      </c>
      <c r="Y4" s="77">
        <v>0</v>
      </c>
      <c r="Z4" s="77">
        <v>0</v>
      </c>
      <c r="AA4" s="77">
        <v>0</v>
      </c>
      <c r="AB4" s="77">
        <v>4</v>
      </c>
      <c r="AC4" s="77">
        <v>6</v>
      </c>
      <c r="AD4" s="77">
        <v>775</v>
      </c>
      <c r="AE4" s="77">
        <v>328</v>
      </c>
      <c r="AF4" s="77">
        <v>70</v>
      </c>
      <c r="AG4" s="77">
        <v>60.4</v>
      </c>
      <c r="AH4" s="77">
        <v>9.0299999999999994</v>
      </c>
      <c r="AI4" s="77">
        <v>18.41</v>
      </c>
      <c r="AJ4" s="77" t="s">
        <v>188</v>
      </c>
      <c r="AK4" s="77">
        <v>670</v>
      </c>
      <c r="AL4" s="77"/>
      <c r="AM4" s="77">
        <v>100</v>
      </c>
      <c r="AN4" s="77"/>
      <c r="AO4" s="77"/>
      <c r="AP4" s="77">
        <v>3.67</v>
      </c>
      <c r="AQ4" s="77">
        <v>0</v>
      </c>
    </row>
    <row r="5" spans="1:43" ht="24" x14ac:dyDescent="0.25">
      <c r="A5" s="78" t="s">
        <v>112</v>
      </c>
      <c r="B5" s="78" t="s">
        <v>113</v>
      </c>
      <c r="C5" s="78" t="s">
        <v>114</v>
      </c>
      <c r="D5" s="78" t="s">
        <v>61</v>
      </c>
      <c r="E5" s="78" t="s">
        <v>192</v>
      </c>
      <c r="F5" s="78">
        <v>2021</v>
      </c>
      <c r="G5" s="78" t="s">
        <v>93</v>
      </c>
      <c r="H5" s="78">
        <v>1</v>
      </c>
      <c r="I5" s="78">
        <v>0</v>
      </c>
      <c r="J5" s="78">
        <v>0</v>
      </c>
      <c r="K5" s="78">
        <v>219</v>
      </c>
      <c r="L5" s="78">
        <v>258.3</v>
      </c>
      <c r="M5" s="78">
        <v>39.299999999999997</v>
      </c>
      <c r="N5" s="78">
        <v>17.95</v>
      </c>
      <c r="O5" s="78" t="s">
        <v>24</v>
      </c>
      <c r="P5" s="78">
        <v>6</v>
      </c>
      <c r="Q5" s="78" t="s">
        <v>101</v>
      </c>
      <c r="R5" s="78">
        <v>365</v>
      </c>
      <c r="S5" s="78">
        <v>968</v>
      </c>
      <c r="T5" s="78">
        <v>0</v>
      </c>
      <c r="U5" s="78">
        <v>0</v>
      </c>
      <c r="V5" s="78">
        <v>0</v>
      </c>
      <c r="W5" s="78">
        <v>0</v>
      </c>
      <c r="X5" s="78">
        <v>0</v>
      </c>
      <c r="Y5" s="78">
        <v>0</v>
      </c>
      <c r="Z5" s="78">
        <v>0</v>
      </c>
      <c r="AA5" s="78">
        <v>1</v>
      </c>
      <c r="AB5" s="78">
        <v>1</v>
      </c>
      <c r="AC5" s="78">
        <v>4</v>
      </c>
      <c r="AD5" s="78">
        <v>610</v>
      </c>
      <c r="AE5" s="78">
        <v>560</v>
      </c>
      <c r="AF5" s="78">
        <v>86.5</v>
      </c>
      <c r="AG5" s="78">
        <v>14</v>
      </c>
      <c r="AH5" s="78">
        <v>14.18</v>
      </c>
      <c r="AI5" s="78">
        <v>2.5</v>
      </c>
      <c r="AJ5" s="78" t="s">
        <v>188</v>
      </c>
      <c r="AK5" s="78">
        <v>6600</v>
      </c>
      <c r="AL5" s="78"/>
      <c r="AM5" s="78">
        <v>5</v>
      </c>
      <c r="AN5" s="78"/>
      <c r="AO5" s="78"/>
      <c r="AP5" s="78">
        <v>2</v>
      </c>
      <c r="AQ5" s="78">
        <v>0.84</v>
      </c>
    </row>
    <row r="6" spans="1:43" ht="24" x14ac:dyDescent="0.25">
      <c r="A6" s="77" t="s">
        <v>116</v>
      </c>
      <c r="B6" s="77" t="s">
        <v>117</v>
      </c>
      <c r="C6" s="77" t="s">
        <v>114</v>
      </c>
      <c r="D6" s="77" t="s">
        <v>57</v>
      </c>
      <c r="E6" s="77" t="s">
        <v>187</v>
      </c>
      <c r="F6" s="77">
        <v>2007</v>
      </c>
      <c r="G6" s="77" t="s">
        <v>93</v>
      </c>
      <c r="H6" s="77">
        <v>1</v>
      </c>
      <c r="I6" s="77">
        <v>0</v>
      </c>
      <c r="J6" s="77">
        <v>0</v>
      </c>
      <c r="K6" s="77">
        <v>202.8</v>
      </c>
      <c r="L6" s="77">
        <v>287.10000000000002</v>
      </c>
      <c r="M6" s="77">
        <v>84.3</v>
      </c>
      <c r="N6" s="77">
        <v>41.57</v>
      </c>
      <c r="O6" s="77" t="s">
        <v>25</v>
      </c>
      <c r="P6" s="77">
        <v>16</v>
      </c>
      <c r="Q6" s="77" t="s">
        <v>107</v>
      </c>
      <c r="R6" s="77">
        <v>213</v>
      </c>
      <c r="S6" s="77">
        <v>1244</v>
      </c>
      <c r="T6" s="77">
        <v>0</v>
      </c>
      <c r="U6" s="77">
        <v>0</v>
      </c>
      <c r="V6" s="77">
        <v>0</v>
      </c>
      <c r="W6" s="77">
        <v>0</v>
      </c>
      <c r="X6" s="77">
        <v>0</v>
      </c>
      <c r="Y6" s="77">
        <v>0</v>
      </c>
      <c r="Z6" s="77">
        <v>0</v>
      </c>
      <c r="AA6" s="77">
        <v>3</v>
      </c>
      <c r="AB6" s="77">
        <v>3</v>
      </c>
      <c r="AC6" s="77">
        <v>5</v>
      </c>
      <c r="AD6" s="77">
        <v>1217.7</v>
      </c>
      <c r="AE6" s="77">
        <v>747.1</v>
      </c>
      <c r="AF6" s="77">
        <v>470.6</v>
      </c>
      <c r="AG6" s="77">
        <v>46.4</v>
      </c>
      <c r="AH6" s="77">
        <v>38.65</v>
      </c>
      <c r="AI6" s="77">
        <v>6.21</v>
      </c>
      <c r="AJ6" s="77" t="s">
        <v>188</v>
      </c>
      <c r="AK6" s="77">
        <v>10300</v>
      </c>
      <c r="AL6" s="77">
        <v>1300</v>
      </c>
      <c r="AM6" s="77">
        <v>95</v>
      </c>
      <c r="AN6" s="77">
        <v>87.38</v>
      </c>
      <c r="AO6" s="77">
        <v>7.31</v>
      </c>
      <c r="AP6" s="77">
        <v>4</v>
      </c>
      <c r="AQ6" s="77">
        <v>11.1</v>
      </c>
    </row>
    <row r="7" spans="1:43" ht="24" x14ac:dyDescent="0.25">
      <c r="A7" s="78" t="s">
        <v>118</v>
      </c>
      <c r="B7" s="78" t="s">
        <v>119</v>
      </c>
      <c r="C7" s="78" t="s">
        <v>110</v>
      </c>
      <c r="D7" s="78" t="s">
        <v>58</v>
      </c>
      <c r="E7" s="78" t="s">
        <v>193</v>
      </c>
      <c r="F7" s="78">
        <v>1998</v>
      </c>
      <c r="G7" s="78" t="s">
        <v>93</v>
      </c>
      <c r="H7" s="78">
        <v>1</v>
      </c>
      <c r="I7" s="78">
        <v>0</v>
      </c>
      <c r="J7" s="78">
        <v>0</v>
      </c>
      <c r="K7" s="78">
        <v>73.3</v>
      </c>
      <c r="L7" s="78">
        <v>99.3</v>
      </c>
      <c r="M7" s="78">
        <v>26</v>
      </c>
      <c r="N7" s="78">
        <v>35.47</v>
      </c>
      <c r="O7" s="78" t="s">
        <v>25</v>
      </c>
      <c r="P7" s="78">
        <v>0</v>
      </c>
      <c r="Q7" s="78" t="s">
        <v>120</v>
      </c>
      <c r="R7" s="78"/>
      <c r="S7" s="78"/>
      <c r="T7" s="78">
        <v>0</v>
      </c>
      <c r="U7" s="78">
        <v>0</v>
      </c>
      <c r="V7" s="78">
        <v>0</v>
      </c>
      <c r="W7" s="78">
        <v>0</v>
      </c>
      <c r="X7" s="78">
        <v>0</v>
      </c>
      <c r="Y7" s="78">
        <v>0</v>
      </c>
      <c r="Z7" s="78">
        <v>0</v>
      </c>
      <c r="AA7" s="78">
        <v>2</v>
      </c>
      <c r="AB7" s="78">
        <v>3</v>
      </c>
      <c r="AC7" s="78">
        <v>4</v>
      </c>
      <c r="AD7" s="78">
        <v>486.3</v>
      </c>
      <c r="AE7" s="78">
        <v>373.7</v>
      </c>
      <c r="AF7" s="78">
        <v>112.6</v>
      </c>
      <c r="AG7" s="78">
        <v>18.2</v>
      </c>
      <c r="AH7" s="78">
        <v>23.15</v>
      </c>
      <c r="AI7" s="78">
        <v>4.87</v>
      </c>
      <c r="AJ7" s="78" t="s">
        <v>188</v>
      </c>
      <c r="AK7" s="78">
        <v>2500</v>
      </c>
      <c r="AL7" s="78"/>
      <c r="AM7" s="78">
        <v>22</v>
      </c>
      <c r="AN7" s="78"/>
      <c r="AO7" s="78"/>
      <c r="AP7" s="78">
        <v>2</v>
      </c>
      <c r="AQ7" s="78">
        <v>3.15</v>
      </c>
    </row>
    <row r="8" spans="1:43" ht="24" x14ac:dyDescent="0.25">
      <c r="A8" s="77" t="s">
        <v>121</v>
      </c>
      <c r="B8" s="77" t="s">
        <v>104</v>
      </c>
      <c r="C8" s="77" t="s">
        <v>122</v>
      </c>
      <c r="D8" s="77" t="s">
        <v>57</v>
      </c>
      <c r="E8" s="77" t="s">
        <v>194</v>
      </c>
      <c r="F8" s="77">
        <v>1989</v>
      </c>
      <c r="G8" s="77" t="s">
        <v>93</v>
      </c>
      <c r="H8" s="77">
        <v>1</v>
      </c>
      <c r="I8" s="77">
        <v>0</v>
      </c>
      <c r="J8" s="77">
        <v>0</v>
      </c>
      <c r="K8" s="77">
        <v>410.1</v>
      </c>
      <c r="L8" s="77">
        <v>1639</v>
      </c>
      <c r="M8" s="77">
        <v>1228.9000000000001</v>
      </c>
      <c r="N8" s="77">
        <v>299.66000000000003</v>
      </c>
      <c r="O8" s="77" t="s">
        <v>26</v>
      </c>
      <c r="P8" s="77">
        <v>74</v>
      </c>
      <c r="Q8" s="77" t="s">
        <v>107</v>
      </c>
      <c r="R8" s="77"/>
      <c r="S8" s="77"/>
      <c r="T8" s="77">
        <v>2</v>
      </c>
      <c r="U8" s="77">
        <v>0</v>
      </c>
      <c r="V8" s="77">
        <v>1</v>
      </c>
      <c r="W8" s="77">
        <v>0</v>
      </c>
      <c r="X8" s="77">
        <v>0</v>
      </c>
      <c r="Y8" s="77">
        <v>1</v>
      </c>
      <c r="Z8" s="77">
        <v>0</v>
      </c>
      <c r="AA8" s="77">
        <v>4</v>
      </c>
      <c r="AB8" s="77">
        <v>12</v>
      </c>
      <c r="AC8" s="77">
        <v>9</v>
      </c>
      <c r="AD8" s="77">
        <v>2380</v>
      </c>
      <c r="AE8" s="77">
        <v>1289</v>
      </c>
      <c r="AF8" s="77">
        <v>925</v>
      </c>
      <c r="AG8" s="77">
        <v>112.1</v>
      </c>
      <c r="AH8" s="77">
        <v>38.869999999999997</v>
      </c>
      <c r="AI8" s="77">
        <v>8.6999999999999993</v>
      </c>
      <c r="AJ8" s="77" t="s">
        <v>190</v>
      </c>
      <c r="AK8" s="77">
        <v>570</v>
      </c>
      <c r="AL8" s="77">
        <v>493</v>
      </c>
      <c r="AM8" s="77">
        <v>87</v>
      </c>
      <c r="AN8" s="77">
        <v>13.51</v>
      </c>
      <c r="AO8" s="77">
        <v>17.649999999999999</v>
      </c>
      <c r="AP8" s="77">
        <v>7.33</v>
      </c>
      <c r="AQ8" s="77">
        <v>13.92</v>
      </c>
    </row>
    <row r="9" spans="1:43" ht="24" x14ac:dyDescent="0.25">
      <c r="A9" s="78" t="s">
        <v>123</v>
      </c>
      <c r="B9" s="78" t="s">
        <v>124</v>
      </c>
      <c r="C9" s="78" t="s">
        <v>125</v>
      </c>
      <c r="D9" s="78" t="s">
        <v>59</v>
      </c>
      <c r="E9" s="78" t="s">
        <v>193</v>
      </c>
      <c r="F9" s="78">
        <v>2001</v>
      </c>
      <c r="G9" s="78" t="s">
        <v>93</v>
      </c>
      <c r="H9" s="78">
        <v>1</v>
      </c>
      <c r="I9" s="78">
        <v>0</v>
      </c>
      <c r="J9" s="78">
        <v>0</v>
      </c>
      <c r="K9" s="78">
        <v>126.1</v>
      </c>
      <c r="L9" s="78">
        <v>162.9</v>
      </c>
      <c r="M9" s="78">
        <v>36.799999999999997</v>
      </c>
      <c r="N9" s="78">
        <v>29.18</v>
      </c>
      <c r="O9" s="78" t="s">
        <v>25</v>
      </c>
      <c r="P9" s="78">
        <v>9</v>
      </c>
      <c r="Q9" s="78" t="s">
        <v>101</v>
      </c>
      <c r="R9" s="78">
        <v>365</v>
      </c>
      <c r="S9" s="78">
        <v>766</v>
      </c>
      <c r="T9" s="78">
        <v>1</v>
      </c>
      <c r="U9" s="78">
        <v>0</v>
      </c>
      <c r="V9" s="78">
        <v>1</v>
      </c>
      <c r="W9" s="78">
        <v>0</v>
      </c>
      <c r="X9" s="78">
        <v>0</v>
      </c>
      <c r="Y9" s="78">
        <v>0</v>
      </c>
      <c r="Z9" s="78">
        <v>0</v>
      </c>
      <c r="AA9" s="78">
        <v>4</v>
      </c>
      <c r="AB9" s="78">
        <v>3</v>
      </c>
      <c r="AC9" s="78">
        <v>4</v>
      </c>
      <c r="AD9" s="78">
        <v>636</v>
      </c>
      <c r="AE9" s="78">
        <v>494</v>
      </c>
      <c r="AF9" s="78">
        <v>142</v>
      </c>
      <c r="AG9" s="78">
        <v>12.26</v>
      </c>
      <c r="AH9" s="78">
        <v>22.33</v>
      </c>
      <c r="AI9" s="78">
        <v>2.48</v>
      </c>
      <c r="AJ9" s="78" t="s">
        <v>188</v>
      </c>
      <c r="AK9" s="78">
        <v>265</v>
      </c>
      <c r="AL9" s="78"/>
      <c r="AM9" s="78">
        <v>10</v>
      </c>
      <c r="AN9" s="78"/>
      <c r="AO9" s="78"/>
      <c r="AP9" s="78">
        <v>3.67</v>
      </c>
      <c r="AQ9" s="78">
        <v>3.09</v>
      </c>
    </row>
    <row r="10" spans="1:43" ht="24" x14ac:dyDescent="0.25">
      <c r="A10" s="77" t="s">
        <v>126</v>
      </c>
      <c r="B10" s="77" t="s">
        <v>127</v>
      </c>
      <c r="C10" s="77" t="s">
        <v>128</v>
      </c>
      <c r="D10" s="77" t="s">
        <v>57</v>
      </c>
      <c r="E10" s="77" t="s">
        <v>195</v>
      </c>
      <c r="F10" s="77">
        <v>2011</v>
      </c>
      <c r="G10" s="77" t="s">
        <v>93</v>
      </c>
      <c r="H10" s="77">
        <v>1</v>
      </c>
      <c r="I10" s="77">
        <v>0</v>
      </c>
      <c r="J10" s="77">
        <v>0</v>
      </c>
      <c r="K10" s="77">
        <v>213.5</v>
      </c>
      <c r="L10" s="77">
        <v>224.35</v>
      </c>
      <c r="M10" s="77">
        <v>10.85</v>
      </c>
      <c r="N10" s="77">
        <v>5.08</v>
      </c>
      <c r="O10" s="77" t="s">
        <v>24</v>
      </c>
      <c r="P10" s="77">
        <v>2</v>
      </c>
      <c r="Q10" s="77" t="s">
        <v>101</v>
      </c>
      <c r="R10" s="77">
        <v>366</v>
      </c>
      <c r="S10" s="77">
        <v>667</v>
      </c>
      <c r="T10" s="77">
        <v>0</v>
      </c>
      <c r="U10" s="77">
        <v>0</v>
      </c>
      <c r="V10" s="77">
        <v>0</v>
      </c>
      <c r="W10" s="77">
        <v>0</v>
      </c>
      <c r="X10" s="77">
        <v>0</v>
      </c>
      <c r="Y10" s="77">
        <v>0</v>
      </c>
      <c r="Z10" s="77">
        <v>0</v>
      </c>
      <c r="AA10" s="77">
        <v>2</v>
      </c>
      <c r="AB10" s="77">
        <v>2</v>
      </c>
      <c r="AC10" s="77">
        <v>6</v>
      </c>
      <c r="AD10" s="77">
        <v>306</v>
      </c>
      <c r="AE10" s="77">
        <v>198</v>
      </c>
      <c r="AF10" s="77">
        <v>108</v>
      </c>
      <c r="AG10" s="77">
        <v>65</v>
      </c>
      <c r="AH10" s="77">
        <v>35.29</v>
      </c>
      <c r="AI10" s="77">
        <v>32.83</v>
      </c>
      <c r="AJ10" s="77" t="s">
        <v>188</v>
      </c>
      <c r="AK10" s="77">
        <v>700</v>
      </c>
      <c r="AL10" s="77"/>
      <c r="AM10" s="77">
        <v>191</v>
      </c>
      <c r="AN10" s="77"/>
      <c r="AO10" s="77"/>
      <c r="AP10" s="77">
        <v>2</v>
      </c>
      <c r="AQ10" s="77">
        <v>1.27</v>
      </c>
    </row>
    <row r="11" spans="1:43" ht="24" x14ac:dyDescent="0.25">
      <c r="A11" s="78" t="s">
        <v>130</v>
      </c>
      <c r="B11" s="78" t="s">
        <v>131</v>
      </c>
      <c r="C11" s="78" t="s">
        <v>128</v>
      </c>
      <c r="D11" s="78" t="s">
        <v>57</v>
      </c>
      <c r="E11" s="78" t="s">
        <v>195</v>
      </c>
      <c r="F11" s="78">
        <v>2011</v>
      </c>
      <c r="G11" s="78" t="s">
        <v>93</v>
      </c>
      <c r="H11" s="78">
        <v>1</v>
      </c>
      <c r="I11" s="78">
        <v>0</v>
      </c>
      <c r="J11" s="78">
        <v>0</v>
      </c>
      <c r="K11" s="78">
        <v>213.5</v>
      </c>
      <c r="L11" s="78">
        <v>224.35</v>
      </c>
      <c r="M11" s="78">
        <v>10.85</v>
      </c>
      <c r="N11" s="78">
        <v>5.08</v>
      </c>
      <c r="O11" s="78" t="s">
        <v>24</v>
      </c>
      <c r="P11" s="78">
        <v>2</v>
      </c>
      <c r="Q11" s="78" t="s">
        <v>101</v>
      </c>
      <c r="R11" s="78">
        <v>366</v>
      </c>
      <c r="S11" s="78">
        <v>667</v>
      </c>
      <c r="T11" s="78">
        <v>0</v>
      </c>
      <c r="U11" s="78">
        <v>0</v>
      </c>
      <c r="V11" s="78">
        <v>0</v>
      </c>
      <c r="W11" s="78">
        <v>0</v>
      </c>
      <c r="X11" s="78">
        <v>0</v>
      </c>
      <c r="Y11" s="78">
        <v>0</v>
      </c>
      <c r="Z11" s="78">
        <v>0</v>
      </c>
      <c r="AA11" s="78">
        <v>2</v>
      </c>
      <c r="AB11" s="78">
        <v>3</v>
      </c>
      <c r="AC11" s="78">
        <v>6</v>
      </c>
      <c r="AD11" s="78">
        <v>306</v>
      </c>
      <c r="AE11" s="78">
        <v>198</v>
      </c>
      <c r="AF11" s="78">
        <v>108</v>
      </c>
      <c r="AG11" s="78">
        <v>65</v>
      </c>
      <c r="AH11" s="78">
        <v>35.29</v>
      </c>
      <c r="AI11" s="78">
        <v>32.83</v>
      </c>
      <c r="AJ11" s="78" t="s">
        <v>188</v>
      </c>
      <c r="AK11" s="78">
        <v>700</v>
      </c>
      <c r="AL11" s="78"/>
      <c r="AM11" s="78">
        <v>191</v>
      </c>
      <c r="AN11" s="78"/>
      <c r="AO11" s="78"/>
      <c r="AP11" s="78">
        <v>2</v>
      </c>
      <c r="AQ11" s="78">
        <v>1.27</v>
      </c>
    </row>
    <row r="12" spans="1:43" ht="24" x14ac:dyDescent="0.25">
      <c r="A12" s="77" t="s">
        <v>132</v>
      </c>
      <c r="B12" s="77" t="s">
        <v>133</v>
      </c>
      <c r="C12" s="77" t="s">
        <v>122</v>
      </c>
      <c r="D12" s="77" t="s">
        <v>57</v>
      </c>
      <c r="E12" s="77" t="s">
        <v>196</v>
      </c>
      <c r="F12" s="77">
        <v>2006</v>
      </c>
      <c r="G12" s="77" t="s">
        <v>93</v>
      </c>
      <c r="H12" s="77">
        <v>1</v>
      </c>
      <c r="I12" s="77">
        <v>0</v>
      </c>
      <c r="J12" s="77">
        <v>0</v>
      </c>
      <c r="K12" s="77">
        <v>700</v>
      </c>
      <c r="L12" s="77">
        <v>1114.0999999999999</v>
      </c>
      <c r="M12" s="77">
        <v>414.1</v>
      </c>
      <c r="N12" s="77">
        <v>59.16</v>
      </c>
      <c r="O12" s="77" t="s">
        <v>26</v>
      </c>
      <c r="P12" s="77">
        <v>26</v>
      </c>
      <c r="Q12" s="77" t="s">
        <v>107</v>
      </c>
      <c r="R12" s="77">
        <v>335</v>
      </c>
      <c r="S12" s="77">
        <v>767</v>
      </c>
      <c r="T12" s="77">
        <v>0</v>
      </c>
      <c r="U12" s="77">
        <v>0</v>
      </c>
      <c r="V12" s="77">
        <v>0</v>
      </c>
      <c r="W12" s="77">
        <v>0</v>
      </c>
      <c r="X12" s="77">
        <v>0</v>
      </c>
      <c r="Y12" s="77">
        <v>0</v>
      </c>
      <c r="Z12" s="77">
        <v>0</v>
      </c>
      <c r="AA12" s="77">
        <v>4</v>
      </c>
      <c r="AB12" s="77">
        <v>10</v>
      </c>
      <c r="AC12" s="77">
        <v>5</v>
      </c>
      <c r="AD12" s="77">
        <v>3625</v>
      </c>
      <c r="AE12" s="77">
        <v>1593</v>
      </c>
      <c r="AF12" s="77">
        <v>2032</v>
      </c>
      <c r="AG12" s="77">
        <v>154.86000000000001</v>
      </c>
      <c r="AH12" s="77">
        <v>56.06</v>
      </c>
      <c r="AI12" s="77">
        <v>9.7200000000000006</v>
      </c>
      <c r="AJ12" s="77" t="s">
        <v>188</v>
      </c>
      <c r="AK12" s="77">
        <v>14000</v>
      </c>
      <c r="AL12" s="77">
        <v>500</v>
      </c>
      <c r="AM12" s="77">
        <v>124</v>
      </c>
      <c r="AN12" s="77">
        <v>96.43</v>
      </c>
      <c r="AO12" s="77">
        <v>24.8</v>
      </c>
      <c r="AP12" s="77">
        <v>6</v>
      </c>
      <c r="AQ12" s="77">
        <v>13.94</v>
      </c>
    </row>
    <row r="13" spans="1:43" ht="24" x14ac:dyDescent="0.25">
      <c r="A13" s="78" t="s">
        <v>134</v>
      </c>
      <c r="B13" s="78" t="s">
        <v>104</v>
      </c>
      <c r="C13" s="78" t="s">
        <v>128</v>
      </c>
      <c r="D13" s="78" t="s">
        <v>57</v>
      </c>
      <c r="E13" s="78" t="s">
        <v>197</v>
      </c>
      <c r="F13" s="78">
        <v>2013</v>
      </c>
      <c r="G13" s="78" t="s">
        <v>93</v>
      </c>
      <c r="H13" s="78">
        <v>1</v>
      </c>
      <c r="I13" s="78">
        <v>0</v>
      </c>
      <c r="J13" s="78">
        <v>0</v>
      </c>
      <c r="K13" s="78">
        <v>262.89999999999998</v>
      </c>
      <c r="L13" s="78">
        <v>279.2</v>
      </c>
      <c r="M13" s="78">
        <v>16.3</v>
      </c>
      <c r="N13" s="78">
        <v>6.2</v>
      </c>
      <c r="O13" s="78" t="s">
        <v>24</v>
      </c>
      <c r="P13" s="78">
        <v>12</v>
      </c>
      <c r="Q13" s="78" t="s">
        <v>101</v>
      </c>
      <c r="R13" s="78">
        <v>270</v>
      </c>
      <c r="S13" s="78">
        <v>841</v>
      </c>
      <c r="T13" s="78">
        <v>0</v>
      </c>
      <c r="U13" s="78">
        <v>0</v>
      </c>
      <c r="V13" s="78">
        <v>0</v>
      </c>
      <c r="W13" s="78">
        <v>0</v>
      </c>
      <c r="X13" s="78">
        <v>0</v>
      </c>
      <c r="Y13" s="78">
        <v>0</v>
      </c>
      <c r="Z13" s="78">
        <v>0</v>
      </c>
      <c r="AA13" s="78">
        <v>0</v>
      </c>
      <c r="AB13" s="78">
        <v>4</v>
      </c>
      <c r="AC13" s="78">
        <v>4</v>
      </c>
      <c r="AD13" s="78">
        <v>375.5</v>
      </c>
      <c r="AE13" s="78">
        <v>240.7</v>
      </c>
      <c r="AF13" s="78">
        <v>134.80000000000001</v>
      </c>
      <c r="AG13" s="78">
        <v>49.7</v>
      </c>
      <c r="AH13" s="78">
        <v>35.9</v>
      </c>
      <c r="AI13" s="78">
        <v>20.65</v>
      </c>
      <c r="AJ13" s="78" t="s">
        <v>188</v>
      </c>
      <c r="AK13" s="78">
        <v>295</v>
      </c>
      <c r="AL13" s="78">
        <v>295</v>
      </c>
      <c r="AM13" s="78">
        <v>195</v>
      </c>
      <c r="AN13" s="78">
        <v>0</v>
      </c>
      <c r="AO13" s="78">
        <v>66.099999999999994</v>
      </c>
      <c r="AP13" s="78">
        <v>2</v>
      </c>
      <c r="AQ13" s="78">
        <v>0.61</v>
      </c>
    </row>
    <row r="14" spans="1:43" ht="24" x14ac:dyDescent="0.25">
      <c r="A14" s="77" t="s">
        <v>135</v>
      </c>
      <c r="B14" s="77" t="s">
        <v>136</v>
      </c>
      <c r="C14" s="77" t="s">
        <v>122</v>
      </c>
      <c r="D14" s="77" t="s">
        <v>58</v>
      </c>
      <c r="E14" s="77" t="s">
        <v>196</v>
      </c>
      <c r="F14" s="77">
        <v>2021</v>
      </c>
      <c r="G14" s="77" t="s">
        <v>102</v>
      </c>
      <c r="H14" s="77">
        <v>0</v>
      </c>
      <c r="I14" s="77">
        <v>0</v>
      </c>
      <c r="J14" s="77">
        <v>1</v>
      </c>
      <c r="K14" s="77">
        <v>990</v>
      </c>
      <c r="L14" s="77">
        <v>999.2</v>
      </c>
      <c r="M14" s="77">
        <v>9.1999999999999993</v>
      </c>
      <c r="N14" s="77">
        <v>0.93</v>
      </c>
      <c r="O14" s="77" t="s">
        <v>24</v>
      </c>
      <c r="P14" s="77">
        <v>0</v>
      </c>
      <c r="Q14" s="77" t="s">
        <v>120</v>
      </c>
      <c r="R14" s="77">
        <v>366</v>
      </c>
      <c r="S14" s="77">
        <v>726</v>
      </c>
      <c r="T14" s="77">
        <v>0</v>
      </c>
      <c r="U14" s="77">
        <v>0</v>
      </c>
      <c r="V14" s="77">
        <v>0</v>
      </c>
      <c r="W14" s="77">
        <v>0</v>
      </c>
      <c r="X14" s="77">
        <v>0</v>
      </c>
      <c r="Y14" s="77">
        <v>0</v>
      </c>
      <c r="Z14" s="77">
        <v>0</v>
      </c>
      <c r="AA14" s="77">
        <v>3</v>
      </c>
      <c r="AB14" s="77">
        <v>4</v>
      </c>
      <c r="AC14" s="77">
        <v>4</v>
      </c>
      <c r="AD14" s="77">
        <v>1550</v>
      </c>
      <c r="AE14" s="77">
        <v>821</v>
      </c>
      <c r="AF14" s="77">
        <v>729</v>
      </c>
      <c r="AG14" s="77">
        <v>61.66</v>
      </c>
      <c r="AH14" s="77">
        <v>47.03</v>
      </c>
      <c r="AI14" s="77">
        <v>7.51</v>
      </c>
      <c r="AJ14" s="77" t="s">
        <v>188</v>
      </c>
      <c r="AK14" s="77">
        <v>26400</v>
      </c>
      <c r="AL14" s="77"/>
      <c r="AM14" s="77">
        <v>70</v>
      </c>
      <c r="AN14" s="77"/>
      <c r="AO14" s="77"/>
      <c r="AP14" s="77">
        <v>1</v>
      </c>
      <c r="AQ14" s="77">
        <v>3.5</v>
      </c>
    </row>
    <row r="15" spans="1:43" ht="24" x14ac:dyDescent="0.25">
      <c r="A15" s="78" t="s">
        <v>137</v>
      </c>
      <c r="B15" s="78" t="s">
        <v>138</v>
      </c>
      <c r="C15" s="78" t="s">
        <v>128</v>
      </c>
      <c r="D15" s="78" t="s">
        <v>57</v>
      </c>
      <c r="E15" s="78" t="s">
        <v>198</v>
      </c>
      <c r="F15" s="78">
        <v>1998</v>
      </c>
      <c r="G15" s="78" t="s">
        <v>93</v>
      </c>
      <c r="H15" s="78">
        <v>1</v>
      </c>
      <c r="I15" s="78">
        <v>0</v>
      </c>
      <c r="J15" s="78">
        <v>0</v>
      </c>
      <c r="K15" s="78">
        <v>61.3</v>
      </c>
      <c r="L15" s="78">
        <v>61.7</v>
      </c>
      <c r="M15" s="78">
        <v>0.4</v>
      </c>
      <c r="N15" s="78">
        <v>0.65</v>
      </c>
      <c r="O15" s="78" t="s">
        <v>24</v>
      </c>
      <c r="P15" s="78">
        <v>4</v>
      </c>
      <c r="Q15" s="78" t="s">
        <v>101</v>
      </c>
      <c r="R15" s="78">
        <v>183</v>
      </c>
      <c r="S15" s="78">
        <v>828</v>
      </c>
      <c r="T15" s="78">
        <v>0</v>
      </c>
      <c r="U15" s="78">
        <v>0</v>
      </c>
      <c r="V15" s="78">
        <v>0</v>
      </c>
      <c r="W15" s="78">
        <v>0</v>
      </c>
      <c r="X15" s="78">
        <v>0</v>
      </c>
      <c r="Y15" s="78">
        <v>0</v>
      </c>
      <c r="Z15" s="78">
        <v>0</v>
      </c>
      <c r="AA15" s="78">
        <v>3</v>
      </c>
      <c r="AB15" s="78">
        <v>5</v>
      </c>
      <c r="AC15" s="78">
        <v>6</v>
      </c>
      <c r="AD15" s="78">
        <v>296.39999999999998</v>
      </c>
      <c r="AE15" s="78">
        <v>158.69999999999999</v>
      </c>
      <c r="AF15" s="78">
        <v>137.69999999999999</v>
      </c>
      <c r="AG15" s="78">
        <v>23.7</v>
      </c>
      <c r="AH15" s="78">
        <v>46.46</v>
      </c>
      <c r="AI15" s="78">
        <v>14.93</v>
      </c>
      <c r="AJ15" s="78" t="s">
        <v>188</v>
      </c>
      <c r="AK15" s="78">
        <v>200</v>
      </c>
      <c r="AL15" s="78">
        <v>186</v>
      </c>
      <c r="AM15" s="78">
        <v>17</v>
      </c>
      <c r="AN15" s="78">
        <v>7</v>
      </c>
      <c r="AO15" s="78">
        <v>9.14</v>
      </c>
      <c r="AP15" s="78">
        <v>2</v>
      </c>
      <c r="AQ15" s="78">
        <v>1.56</v>
      </c>
    </row>
    <row r="16" spans="1:43" ht="24" x14ac:dyDescent="0.25">
      <c r="A16" s="77" t="s">
        <v>139</v>
      </c>
      <c r="B16" s="77" t="s">
        <v>140</v>
      </c>
      <c r="C16" s="77" t="s">
        <v>99</v>
      </c>
      <c r="D16" s="77" t="s">
        <v>57</v>
      </c>
      <c r="E16" s="77" t="s">
        <v>191</v>
      </c>
      <c r="F16" s="77">
        <v>1999</v>
      </c>
      <c r="G16" s="77" t="s">
        <v>111</v>
      </c>
      <c r="H16" s="77">
        <v>0</v>
      </c>
      <c r="I16" s="77">
        <v>1</v>
      </c>
      <c r="J16" s="77">
        <v>0</v>
      </c>
      <c r="K16" s="77">
        <v>183.6</v>
      </c>
      <c r="L16" s="77">
        <v>183.25</v>
      </c>
      <c r="M16" s="77">
        <v>-0.35</v>
      </c>
      <c r="N16" s="77">
        <v>-0.19</v>
      </c>
      <c r="O16" s="77" t="s">
        <v>23</v>
      </c>
      <c r="P16" s="77">
        <v>0</v>
      </c>
      <c r="Q16" s="77" t="s">
        <v>120</v>
      </c>
      <c r="R16" s="77">
        <v>306</v>
      </c>
      <c r="S16" s="77">
        <v>709</v>
      </c>
      <c r="T16" s="77">
        <v>0</v>
      </c>
      <c r="U16" s="77">
        <v>0</v>
      </c>
      <c r="V16" s="77">
        <v>0</v>
      </c>
      <c r="W16" s="77">
        <v>0</v>
      </c>
      <c r="X16" s="77">
        <v>0</v>
      </c>
      <c r="Y16" s="77">
        <v>0</v>
      </c>
      <c r="Z16" s="77">
        <v>0</v>
      </c>
      <c r="AA16" s="77">
        <v>1</v>
      </c>
      <c r="AB16" s="77">
        <v>2</v>
      </c>
      <c r="AC16" s="77">
        <v>6</v>
      </c>
      <c r="AD16" s="77">
        <v>629</v>
      </c>
      <c r="AE16" s="77">
        <v>338</v>
      </c>
      <c r="AF16" s="77">
        <v>291</v>
      </c>
      <c r="AG16" s="77">
        <v>44</v>
      </c>
      <c r="AH16" s="77">
        <v>46.26</v>
      </c>
      <c r="AI16" s="77">
        <v>13.02</v>
      </c>
      <c r="AJ16" s="77" t="s">
        <v>188</v>
      </c>
      <c r="AK16" s="77">
        <v>1000</v>
      </c>
      <c r="AL16" s="77">
        <v>500</v>
      </c>
      <c r="AM16" s="77">
        <v>45</v>
      </c>
      <c r="AN16" s="77">
        <v>50</v>
      </c>
      <c r="AO16" s="77">
        <v>9</v>
      </c>
      <c r="AP16" s="77">
        <v>0</v>
      </c>
      <c r="AQ16" s="77">
        <v>0.78</v>
      </c>
    </row>
    <row r="17" spans="1:43" ht="24" x14ac:dyDescent="0.25">
      <c r="A17" s="78" t="s">
        <v>141</v>
      </c>
      <c r="B17" s="78" t="s">
        <v>104</v>
      </c>
      <c r="C17" s="78" t="s">
        <v>99</v>
      </c>
      <c r="D17" s="78" t="s">
        <v>57</v>
      </c>
      <c r="E17" s="78" t="s">
        <v>187</v>
      </c>
      <c r="F17" s="78">
        <v>1996</v>
      </c>
      <c r="G17" s="78" t="s">
        <v>93</v>
      </c>
      <c r="H17" s="78">
        <v>1</v>
      </c>
      <c r="I17" s="78">
        <v>0</v>
      </c>
      <c r="J17" s="78">
        <v>0</v>
      </c>
      <c r="K17" s="78">
        <v>140.19999999999999</v>
      </c>
      <c r="L17" s="78">
        <v>130.69999999999999</v>
      </c>
      <c r="M17" s="78">
        <v>-9.5</v>
      </c>
      <c r="N17" s="78">
        <v>-6.78</v>
      </c>
      <c r="O17" s="78" t="s">
        <v>23</v>
      </c>
      <c r="P17" s="78">
        <v>-1</v>
      </c>
      <c r="Q17" s="78" t="s">
        <v>142</v>
      </c>
      <c r="R17" s="78"/>
      <c r="S17" s="78">
        <v>280</v>
      </c>
      <c r="T17" s="78">
        <v>1</v>
      </c>
      <c r="U17" s="78">
        <v>0</v>
      </c>
      <c r="V17" s="78">
        <v>0</v>
      </c>
      <c r="W17" s="78">
        <v>0</v>
      </c>
      <c r="X17" s="78">
        <v>0</v>
      </c>
      <c r="Y17" s="78">
        <v>1</v>
      </c>
      <c r="Z17" s="78">
        <v>0</v>
      </c>
      <c r="AA17" s="78">
        <v>4</v>
      </c>
      <c r="AB17" s="78">
        <v>6</v>
      </c>
      <c r="AC17" s="78">
        <v>8</v>
      </c>
      <c r="AD17" s="78">
        <v>1030.5</v>
      </c>
      <c r="AE17" s="78">
        <v>666.3</v>
      </c>
      <c r="AF17" s="78">
        <v>360.5</v>
      </c>
      <c r="AG17" s="78">
        <v>76.3</v>
      </c>
      <c r="AH17" s="78">
        <v>34.979999999999997</v>
      </c>
      <c r="AI17" s="78">
        <v>11.45</v>
      </c>
      <c r="AJ17" s="78" t="s">
        <v>188</v>
      </c>
      <c r="AK17" s="78">
        <v>1980</v>
      </c>
      <c r="AL17" s="78">
        <v>940</v>
      </c>
      <c r="AM17" s="78">
        <v>77</v>
      </c>
      <c r="AN17" s="78">
        <v>52.53</v>
      </c>
      <c r="AO17" s="78">
        <v>8.19</v>
      </c>
      <c r="AP17" s="78">
        <v>0.67</v>
      </c>
      <c r="AQ17" s="78">
        <v>9.98</v>
      </c>
    </row>
    <row r="18" spans="1:43" ht="24" x14ac:dyDescent="0.25">
      <c r="A18" s="77" t="s">
        <v>143</v>
      </c>
      <c r="B18" s="77" t="s">
        <v>104</v>
      </c>
      <c r="C18" s="77" t="s">
        <v>99</v>
      </c>
      <c r="D18" s="77" t="s">
        <v>57</v>
      </c>
      <c r="E18" s="77" t="s">
        <v>199</v>
      </c>
      <c r="F18" s="77">
        <v>1992</v>
      </c>
      <c r="G18" s="77" t="s">
        <v>111</v>
      </c>
      <c r="H18" s="77">
        <v>0</v>
      </c>
      <c r="I18" s="77">
        <v>1</v>
      </c>
      <c r="J18" s="77">
        <v>0</v>
      </c>
      <c r="K18" s="77">
        <v>458.6</v>
      </c>
      <c r="L18" s="77">
        <v>511.2</v>
      </c>
      <c r="M18" s="77">
        <v>52.6</v>
      </c>
      <c r="N18" s="77">
        <v>11.47</v>
      </c>
      <c r="O18" s="77" t="s">
        <v>24</v>
      </c>
      <c r="P18" s="77">
        <v>0</v>
      </c>
      <c r="Q18" s="77" t="s">
        <v>120</v>
      </c>
      <c r="R18" s="77">
        <v>-2892</v>
      </c>
      <c r="S18" s="77">
        <v>725</v>
      </c>
      <c r="T18" s="77">
        <v>1</v>
      </c>
      <c r="U18" s="77">
        <v>0</v>
      </c>
      <c r="V18" s="77">
        <v>0</v>
      </c>
      <c r="W18" s="77">
        <v>0</v>
      </c>
      <c r="X18" s="77">
        <v>0</v>
      </c>
      <c r="Y18" s="77">
        <v>1</v>
      </c>
      <c r="Z18" s="77">
        <v>0</v>
      </c>
      <c r="AA18" s="77">
        <v>4</v>
      </c>
      <c r="AB18" s="77">
        <v>8</v>
      </c>
      <c r="AC18" s="77">
        <v>6</v>
      </c>
      <c r="AD18" s="77">
        <v>2573</v>
      </c>
      <c r="AE18" s="77">
        <v>1028</v>
      </c>
      <c r="AF18" s="77">
        <v>1346</v>
      </c>
      <c r="AG18" s="77">
        <v>139.9</v>
      </c>
      <c r="AH18" s="77">
        <v>52.31</v>
      </c>
      <c r="AI18" s="77">
        <v>13.61</v>
      </c>
      <c r="AJ18" s="77" t="s">
        <v>188</v>
      </c>
      <c r="AK18" s="77">
        <v>3400</v>
      </c>
      <c r="AL18" s="77">
        <v>1408</v>
      </c>
      <c r="AM18" s="77">
        <v>108</v>
      </c>
      <c r="AN18" s="77">
        <v>58.59</v>
      </c>
      <c r="AO18" s="77">
        <v>7.67</v>
      </c>
      <c r="AP18" s="77">
        <v>1.67</v>
      </c>
      <c r="AQ18" s="77">
        <v>0.9</v>
      </c>
    </row>
    <row r="19" spans="1:43" ht="24" x14ac:dyDescent="0.25">
      <c r="A19" s="78" t="s">
        <v>144</v>
      </c>
      <c r="B19" s="78" t="s">
        <v>104</v>
      </c>
      <c r="C19" s="78" t="s">
        <v>99</v>
      </c>
      <c r="D19" s="78" t="s">
        <v>57</v>
      </c>
      <c r="E19" s="78" t="s">
        <v>196</v>
      </c>
      <c r="F19" s="78">
        <v>1999</v>
      </c>
      <c r="G19" s="78" t="s">
        <v>93</v>
      </c>
      <c r="H19" s="78">
        <v>1</v>
      </c>
      <c r="I19" s="78">
        <v>0</v>
      </c>
      <c r="J19" s="78">
        <v>0</v>
      </c>
      <c r="K19" s="78">
        <v>334.4</v>
      </c>
      <c r="L19" s="78">
        <v>450</v>
      </c>
      <c r="M19" s="78">
        <v>115.6</v>
      </c>
      <c r="N19" s="78">
        <v>34.57</v>
      </c>
      <c r="O19" s="78" t="s">
        <v>25</v>
      </c>
      <c r="P19" s="78">
        <v>1</v>
      </c>
      <c r="Q19" s="78" t="s">
        <v>101</v>
      </c>
      <c r="R19" s="78">
        <v>365</v>
      </c>
      <c r="S19" s="78">
        <v>773</v>
      </c>
      <c r="T19" s="78">
        <v>1</v>
      </c>
      <c r="U19" s="78">
        <v>0</v>
      </c>
      <c r="V19" s="78">
        <v>0</v>
      </c>
      <c r="W19" s="78">
        <v>0</v>
      </c>
      <c r="X19" s="78">
        <v>0</v>
      </c>
      <c r="Y19" s="78">
        <v>1</v>
      </c>
      <c r="Z19" s="78">
        <v>0</v>
      </c>
      <c r="AA19" s="78">
        <v>3</v>
      </c>
      <c r="AB19" s="78">
        <v>7</v>
      </c>
      <c r="AC19" s="78">
        <v>5</v>
      </c>
      <c r="AD19" s="78">
        <v>2180</v>
      </c>
      <c r="AE19" s="78">
        <v>1031</v>
      </c>
      <c r="AF19" s="78">
        <v>1149</v>
      </c>
      <c r="AG19" s="78">
        <v>139</v>
      </c>
      <c r="AH19" s="78">
        <v>52.71</v>
      </c>
      <c r="AI19" s="78">
        <v>13.48</v>
      </c>
      <c r="AJ19" s="78" t="s">
        <v>188</v>
      </c>
      <c r="AK19" s="78">
        <v>6000</v>
      </c>
      <c r="AL19" s="78">
        <v>3000</v>
      </c>
      <c r="AM19" s="78">
        <v>189</v>
      </c>
      <c r="AN19" s="78">
        <v>50</v>
      </c>
      <c r="AO19" s="78">
        <v>6.3</v>
      </c>
      <c r="AP19" s="78">
        <v>3.67</v>
      </c>
      <c r="AQ19" s="78">
        <v>18.600000000000001</v>
      </c>
    </row>
    <row r="20" spans="1:43" x14ac:dyDescent="0.25">
      <c r="A20" s="77" t="s">
        <v>145</v>
      </c>
      <c r="B20" s="77" t="s">
        <v>146</v>
      </c>
      <c r="C20" s="77" t="s">
        <v>99</v>
      </c>
      <c r="D20" s="77" t="s">
        <v>57</v>
      </c>
      <c r="E20" s="77" t="s">
        <v>196</v>
      </c>
      <c r="F20" s="77">
        <v>2013</v>
      </c>
      <c r="G20" s="77" t="s">
        <v>102</v>
      </c>
      <c r="H20" s="77">
        <v>0</v>
      </c>
      <c r="I20" s="77">
        <v>0</v>
      </c>
      <c r="J20" s="77">
        <v>1</v>
      </c>
      <c r="K20" s="77">
        <v>567.20000000000005</v>
      </c>
      <c r="L20" s="77">
        <v>551.1</v>
      </c>
      <c r="M20" s="77">
        <v>-16.100000000000001</v>
      </c>
      <c r="N20" s="77">
        <v>-2.84</v>
      </c>
      <c r="O20" s="77" t="s">
        <v>23</v>
      </c>
      <c r="P20" s="77">
        <v>0</v>
      </c>
      <c r="Q20" s="77" t="s">
        <v>120</v>
      </c>
      <c r="R20" s="77">
        <v>379</v>
      </c>
      <c r="S20" s="77">
        <v>857</v>
      </c>
      <c r="T20" s="77">
        <v>0</v>
      </c>
      <c r="U20" s="77">
        <v>0</v>
      </c>
      <c r="V20" s="77">
        <v>0</v>
      </c>
      <c r="W20" s="77">
        <v>0</v>
      </c>
      <c r="X20" s="77">
        <v>0</v>
      </c>
      <c r="Y20" s="77">
        <v>0</v>
      </c>
      <c r="Z20" s="77">
        <v>0</v>
      </c>
      <c r="AA20" s="77">
        <v>3</v>
      </c>
      <c r="AB20" s="77">
        <v>8</v>
      </c>
      <c r="AC20" s="77">
        <v>5</v>
      </c>
      <c r="AD20" s="77">
        <v>2454</v>
      </c>
      <c r="AE20" s="77">
        <v>809</v>
      </c>
      <c r="AF20" s="77">
        <v>1645</v>
      </c>
      <c r="AG20" s="77">
        <v>71.5</v>
      </c>
      <c r="AH20" s="77">
        <v>67.03</v>
      </c>
      <c r="AI20" s="77">
        <v>8.84</v>
      </c>
      <c r="AJ20" s="77" t="s">
        <v>188</v>
      </c>
      <c r="AK20" s="77">
        <v>3400</v>
      </c>
      <c r="AL20" s="77">
        <v>1700</v>
      </c>
      <c r="AM20" s="77">
        <v>90</v>
      </c>
      <c r="AN20" s="77">
        <v>50</v>
      </c>
      <c r="AO20" s="77">
        <v>5.29</v>
      </c>
      <c r="AP20" s="77">
        <v>0</v>
      </c>
      <c r="AQ20" s="77">
        <v>10.33</v>
      </c>
    </row>
    <row r="21" spans="1:43" ht="24" x14ac:dyDescent="0.25">
      <c r="A21" s="78" t="s">
        <v>147</v>
      </c>
      <c r="B21" s="78" t="s">
        <v>148</v>
      </c>
      <c r="C21" s="78" t="s">
        <v>149</v>
      </c>
      <c r="D21" s="78" t="s">
        <v>57</v>
      </c>
      <c r="E21" s="78" t="s">
        <v>187</v>
      </c>
      <c r="F21" s="78">
        <v>2004</v>
      </c>
      <c r="G21" s="78" t="s">
        <v>93</v>
      </c>
      <c r="H21" s="78">
        <v>1</v>
      </c>
      <c r="I21" s="78">
        <v>0</v>
      </c>
      <c r="J21" s="78">
        <v>0</v>
      </c>
      <c r="K21" s="78">
        <v>326.2</v>
      </c>
      <c r="L21" s="78">
        <v>390</v>
      </c>
      <c r="M21" s="78">
        <v>63.8</v>
      </c>
      <c r="N21" s="78">
        <v>19.559999999999999</v>
      </c>
      <c r="O21" s="78" t="s">
        <v>24</v>
      </c>
      <c r="P21" s="78">
        <v>6</v>
      </c>
      <c r="Q21" s="78" t="s">
        <v>101</v>
      </c>
      <c r="R21" s="78">
        <v>302</v>
      </c>
      <c r="S21" s="78">
        <v>865</v>
      </c>
      <c r="T21" s="78">
        <v>0</v>
      </c>
      <c r="U21" s="78">
        <v>0</v>
      </c>
      <c r="V21" s="78">
        <v>0</v>
      </c>
      <c r="W21" s="78">
        <v>0</v>
      </c>
      <c r="X21" s="78">
        <v>0</v>
      </c>
      <c r="Y21" s="78">
        <v>0</v>
      </c>
      <c r="Z21" s="78">
        <v>0</v>
      </c>
      <c r="AA21" s="78">
        <v>3</v>
      </c>
      <c r="AB21" s="78">
        <v>7</v>
      </c>
      <c r="AC21" s="78">
        <v>6</v>
      </c>
      <c r="AD21" s="78">
        <v>1108</v>
      </c>
      <c r="AE21" s="78">
        <v>485.2</v>
      </c>
      <c r="AF21" s="78">
        <v>607.79999999999995</v>
      </c>
      <c r="AG21" s="78">
        <v>42.4</v>
      </c>
      <c r="AH21" s="78">
        <v>54.86</v>
      </c>
      <c r="AI21" s="78">
        <v>8.74</v>
      </c>
      <c r="AJ21" s="78" t="s">
        <v>188</v>
      </c>
      <c r="AK21" s="78">
        <v>370</v>
      </c>
      <c r="AL21" s="78">
        <v>450</v>
      </c>
      <c r="AM21" s="78">
        <v>68</v>
      </c>
      <c r="AN21" s="78">
        <v>-21.62</v>
      </c>
      <c r="AO21" s="78">
        <v>15.11</v>
      </c>
      <c r="AP21" s="78">
        <v>2</v>
      </c>
      <c r="AQ21" s="78">
        <v>10.74</v>
      </c>
    </row>
    <row r="22" spans="1:43" ht="24" x14ac:dyDescent="0.25">
      <c r="A22" s="77" t="s">
        <v>150</v>
      </c>
      <c r="B22" s="77" t="s">
        <v>151</v>
      </c>
      <c r="C22" s="77" t="s">
        <v>99</v>
      </c>
      <c r="D22" s="77" t="s">
        <v>60</v>
      </c>
      <c r="E22" s="77" t="s">
        <v>196</v>
      </c>
      <c r="F22" s="77">
        <v>2011</v>
      </c>
      <c r="G22" s="77" t="s">
        <v>102</v>
      </c>
      <c r="H22" s="77">
        <v>0</v>
      </c>
      <c r="I22" s="77">
        <v>0</v>
      </c>
      <c r="J22" s="77">
        <v>1</v>
      </c>
      <c r="K22" s="77">
        <v>1068.5</v>
      </c>
      <c r="L22" s="77">
        <v>2337.1</v>
      </c>
      <c r="M22" s="77">
        <v>1268.5999999999999</v>
      </c>
      <c r="N22" s="77">
        <v>118.73</v>
      </c>
      <c r="O22" s="77" t="s">
        <v>26</v>
      </c>
      <c r="P22" s="77">
        <v>25</v>
      </c>
      <c r="Q22" s="77" t="s">
        <v>107</v>
      </c>
      <c r="R22" s="77">
        <v>346</v>
      </c>
      <c r="S22" s="77">
        <v>1639</v>
      </c>
      <c r="T22" s="77">
        <v>3</v>
      </c>
      <c r="U22" s="77">
        <v>0</v>
      </c>
      <c r="V22" s="77">
        <v>0</v>
      </c>
      <c r="W22" s="77">
        <v>1</v>
      </c>
      <c r="X22" s="77">
        <v>1</v>
      </c>
      <c r="Y22" s="77">
        <v>0</v>
      </c>
      <c r="Z22" s="77">
        <v>1</v>
      </c>
      <c r="AA22" s="77">
        <v>7</v>
      </c>
      <c r="AB22" s="77">
        <v>10</v>
      </c>
      <c r="AC22" s="77">
        <v>8</v>
      </c>
      <c r="AD22" s="77">
        <v>3839</v>
      </c>
      <c r="AE22" s="77">
        <v>3300</v>
      </c>
      <c r="AF22" s="77">
        <v>539</v>
      </c>
      <c r="AG22" s="77">
        <v>899</v>
      </c>
      <c r="AH22" s="77">
        <v>14.04</v>
      </c>
      <c r="AI22" s="77">
        <v>27.24</v>
      </c>
      <c r="AJ22" s="77" t="s">
        <v>190</v>
      </c>
      <c r="AK22" s="77">
        <v>125</v>
      </c>
      <c r="AL22" s="77">
        <v>125</v>
      </c>
      <c r="AM22" s="77">
        <v>125</v>
      </c>
      <c r="AN22" s="77">
        <v>0</v>
      </c>
      <c r="AO22" s="77">
        <v>100</v>
      </c>
      <c r="AP22" s="77">
        <v>8</v>
      </c>
      <c r="AQ22" s="77">
        <v>12.31</v>
      </c>
    </row>
    <row r="23" spans="1:43" ht="24" x14ac:dyDescent="0.25">
      <c r="A23" s="78" t="s">
        <v>152</v>
      </c>
      <c r="B23" s="78" t="s">
        <v>153</v>
      </c>
      <c r="C23" s="78" t="s">
        <v>114</v>
      </c>
      <c r="D23" s="78" t="s">
        <v>57</v>
      </c>
      <c r="E23" s="78" t="s">
        <v>187</v>
      </c>
      <c r="F23" s="78">
        <v>1996</v>
      </c>
      <c r="G23" s="78" t="s">
        <v>93</v>
      </c>
      <c r="H23" s="78">
        <v>1</v>
      </c>
      <c r="I23" s="78">
        <v>0</v>
      </c>
      <c r="J23" s="78">
        <v>0</v>
      </c>
      <c r="K23" s="78">
        <v>249.4</v>
      </c>
      <c r="L23" s="78">
        <v>230.8</v>
      </c>
      <c r="M23" s="78">
        <v>-18.600000000000001</v>
      </c>
      <c r="N23" s="78">
        <v>-7.46</v>
      </c>
      <c r="O23" s="78" t="s">
        <v>23</v>
      </c>
      <c r="P23" s="78">
        <v>-1</v>
      </c>
      <c r="Q23" s="78" t="s">
        <v>142</v>
      </c>
      <c r="R23" s="78">
        <v>214</v>
      </c>
      <c r="S23" s="78">
        <v>473</v>
      </c>
      <c r="T23" s="78">
        <v>0</v>
      </c>
      <c r="U23" s="78">
        <v>0</v>
      </c>
      <c r="V23" s="78">
        <v>0</v>
      </c>
      <c r="W23" s="78">
        <v>0</v>
      </c>
      <c r="X23" s="78">
        <v>0</v>
      </c>
      <c r="Y23" s="78">
        <v>0</v>
      </c>
      <c r="Z23" s="78">
        <v>0</v>
      </c>
      <c r="AA23" s="78">
        <v>4</v>
      </c>
      <c r="AB23" s="78">
        <v>6</v>
      </c>
      <c r="AC23" s="78">
        <v>3</v>
      </c>
      <c r="AD23" s="78">
        <v>818</v>
      </c>
      <c r="AE23" s="78">
        <v>487</v>
      </c>
      <c r="AF23" s="78">
        <v>318</v>
      </c>
      <c r="AG23" s="78">
        <v>56.25</v>
      </c>
      <c r="AH23" s="78">
        <v>38.880000000000003</v>
      </c>
      <c r="AI23" s="78">
        <v>11.55</v>
      </c>
      <c r="AJ23" s="78" t="s">
        <v>188</v>
      </c>
      <c r="AK23" s="78">
        <v>1800</v>
      </c>
      <c r="AL23" s="78">
        <v>400</v>
      </c>
      <c r="AM23" s="78">
        <v>53</v>
      </c>
      <c r="AN23" s="78">
        <v>77.78</v>
      </c>
      <c r="AO23" s="78">
        <v>13.25</v>
      </c>
      <c r="AP23" s="78">
        <v>0</v>
      </c>
      <c r="AQ23" s="78">
        <v>5.03</v>
      </c>
    </row>
    <row r="24" spans="1:43" x14ac:dyDescent="0.25">
      <c r="A24" s="77" t="s">
        <v>154</v>
      </c>
      <c r="B24" s="77" t="s">
        <v>155</v>
      </c>
      <c r="C24" s="77" t="s">
        <v>114</v>
      </c>
      <c r="D24" s="77" t="s">
        <v>59</v>
      </c>
      <c r="E24" s="77" t="s">
        <v>196</v>
      </c>
      <c r="F24" s="77">
        <v>2016</v>
      </c>
      <c r="G24" s="77" t="s">
        <v>102</v>
      </c>
      <c r="H24" s="77">
        <v>0</v>
      </c>
      <c r="I24" s="77">
        <v>0</v>
      </c>
      <c r="J24" s="77">
        <v>1</v>
      </c>
      <c r="K24" s="77">
        <v>865.9</v>
      </c>
      <c r="L24" s="77">
        <v>775.1</v>
      </c>
      <c r="M24" s="77">
        <v>-90.8</v>
      </c>
      <c r="N24" s="77">
        <v>-10.49</v>
      </c>
      <c r="O24" s="77" t="s">
        <v>23</v>
      </c>
      <c r="P24" s="77">
        <v>0</v>
      </c>
      <c r="Q24" s="77" t="s">
        <v>120</v>
      </c>
      <c r="R24" s="77">
        <v>396</v>
      </c>
      <c r="S24" s="77">
        <v>891</v>
      </c>
      <c r="T24" s="77">
        <v>0</v>
      </c>
      <c r="U24" s="77">
        <v>0</v>
      </c>
      <c r="V24" s="77">
        <v>0</v>
      </c>
      <c r="W24" s="77">
        <v>0</v>
      </c>
      <c r="X24" s="77">
        <v>0</v>
      </c>
      <c r="Y24" s="77">
        <v>0</v>
      </c>
      <c r="Z24" s="77">
        <v>0</v>
      </c>
      <c r="AA24" s="77">
        <v>3</v>
      </c>
      <c r="AB24" s="77">
        <v>6</v>
      </c>
      <c r="AC24" s="77">
        <v>5</v>
      </c>
      <c r="AD24" s="77">
        <v>1955</v>
      </c>
      <c r="AE24" s="77">
        <v>860</v>
      </c>
      <c r="AF24" s="77">
        <v>1095</v>
      </c>
      <c r="AG24" s="77">
        <v>110</v>
      </c>
      <c r="AH24" s="77">
        <v>56.01</v>
      </c>
      <c r="AI24" s="77">
        <v>12.79</v>
      </c>
      <c r="AJ24" s="77" t="s">
        <v>188</v>
      </c>
      <c r="AK24" s="77">
        <v>3000</v>
      </c>
      <c r="AL24" s="77">
        <v>1226</v>
      </c>
      <c r="AM24" s="77">
        <v>122</v>
      </c>
      <c r="AN24" s="77">
        <v>59.13</v>
      </c>
      <c r="AO24" s="77">
        <v>9.9499999999999993</v>
      </c>
      <c r="AP24" s="77">
        <v>0</v>
      </c>
      <c r="AQ24" s="77">
        <v>7.52</v>
      </c>
    </row>
    <row r="25" spans="1:43" ht="24" x14ac:dyDescent="0.25">
      <c r="A25" s="78" t="s">
        <v>156</v>
      </c>
      <c r="B25" s="78" t="s">
        <v>157</v>
      </c>
      <c r="C25" s="78" t="s">
        <v>158</v>
      </c>
      <c r="D25" s="78" t="s">
        <v>57</v>
      </c>
      <c r="E25" s="78" t="s">
        <v>200</v>
      </c>
      <c r="F25" s="78">
        <v>2023</v>
      </c>
      <c r="G25" s="78" t="s">
        <v>102</v>
      </c>
      <c r="H25" s="78">
        <v>0</v>
      </c>
      <c r="I25" s="78">
        <v>0</v>
      </c>
      <c r="J25" s="78">
        <v>1</v>
      </c>
      <c r="K25" s="78">
        <v>925</v>
      </c>
      <c r="L25" s="78">
        <v>1108.0999999999999</v>
      </c>
      <c r="M25" s="78">
        <v>183.1</v>
      </c>
      <c r="N25" s="78">
        <v>19.79</v>
      </c>
      <c r="O25" s="78" t="s">
        <v>24</v>
      </c>
      <c r="P25" s="78">
        <v>13</v>
      </c>
      <c r="Q25" s="78" t="s">
        <v>107</v>
      </c>
      <c r="R25" s="78">
        <v>1877</v>
      </c>
      <c r="S25" s="78">
        <v>-190</v>
      </c>
      <c r="T25" s="78">
        <v>0</v>
      </c>
      <c r="U25" s="78">
        <v>0</v>
      </c>
      <c r="V25" s="78">
        <v>0</v>
      </c>
      <c r="W25" s="78">
        <v>0</v>
      </c>
      <c r="X25" s="78">
        <v>0</v>
      </c>
      <c r="Y25" s="78">
        <v>0</v>
      </c>
      <c r="Z25" s="78">
        <v>0</v>
      </c>
      <c r="AA25" s="78">
        <v>4</v>
      </c>
      <c r="AB25" s="78">
        <v>3</v>
      </c>
      <c r="AC25" s="78">
        <v>5</v>
      </c>
      <c r="AD25" s="78">
        <v>2800</v>
      </c>
      <c r="AE25" s="78">
        <v>1400</v>
      </c>
      <c r="AF25" s="78">
        <v>1064</v>
      </c>
      <c r="AG25" s="78">
        <v>70</v>
      </c>
      <c r="AH25" s="78">
        <v>38</v>
      </c>
      <c r="AI25" s="78">
        <v>5</v>
      </c>
      <c r="AJ25" s="78" t="s">
        <v>188</v>
      </c>
      <c r="AK25" s="78">
        <v>19200</v>
      </c>
      <c r="AL25" s="78">
        <v>2400</v>
      </c>
      <c r="AM25" s="78">
        <v>46</v>
      </c>
      <c r="AN25" s="78">
        <v>87.5</v>
      </c>
      <c r="AO25" s="78">
        <v>1.92</v>
      </c>
      <c r="AP25" s="78">
        <v>3</v>
      </c>
      <c r="AQ25" s="78">
        <v>0.43</v>
      </c>
    </row>
    <row r="26" spans="1:43" ht="24" x14ac:dyDescent="0.25">
      <c r="A26" s="77" t="s">
        <v>159</v>
      </c>
      <c r="B26" s="77" t="s">
        <v>160</v>
      </c>
      <c r="C26" s="77" t="s">
        <v>110</v>
      </c>
      <c r="D26" s="77" t="s">
        <v>59</v>
      </c>
      <c r="E26" s="77" t="s">
        <v>201</v>
      </c>
      <c r="F26" s="77">
        <v>1999</v>
      </c>
      <c r="G26" s="77" t="s">
        <v>93</v>
      </c>
      <c r="H26" s="77">
        <v>1</v>
      </c>
      <c r="I26" s="77">
        <v>0</v>
      </c>
      <c r="J26" s="77">
        <v>0</v>
      </c>
      <c r="K26" s="77">
        <v>117.8</v>
      </c>
      <c r="L26" s="77">
        <v>126.4</v>
      </c>
      <c r="M26" s="77">
        <v>8.6</v>
      </c>
      <c r="N26" s="77">
        <v>7.3</v>
      </c>
      <c r="O26" s="77" t="s">
        <v>24</v>
      </c>
      <c r="P26" s="77">
        <v>0</v>
      </c>
      <c r="Q26" s="77" t="s">
        <v>120</v>
      </c>
      <c r="R26" s="77">
        <v>273</v>
      </c>
      <c r="S26" s="77">
        <v>616</v>
      </c>
      <c r="T26" s="77">
        <v>1</v>
      </c>
      <c r="U26" s="77">
        <v>0</v>
      </c>
      <c r="V26" s="77">
        <v>1</v>
      </c>
      <c r="W26" s="77">
        <v>0</v>
      </c>
      <c r="X26" s="77">
        <v>0</v>
      </c>
      <c r="Y26" s="77">
        <v>0</v>
      </c>
      <c r="Z26" s="77">
        <v>0</v>
      </c>
      <c r="AA26" s="77">
        <v>5</v>
      </c>
      <c r="AB26" s="77">
        <v>5</v>
      </c>
      <c r="AC26" s="77">
        <v>3</v>
      </c>
      <c r="AD26" s="77">
        <v>385</v>
      </c>
      <c r="AE26" s="77">
        <v>300</v>
      </c>
      <c r="AF26" s="77">
        <v>85</v>
      </c>
      <c r="AG26" s="77">
        <v>24.16</v>
      </c>
      <c r="AH26" s="77">
        <v>22.08</v>
      </c>
      <c r="AI26" s="77">
        <v>8.0500000000000007</v>
      </c>
      <c r="AJ26" s="77" t="s">
        <v>188</v>
      </c>
      <c r="AK26" s="77">
        <v>800</v>
      </c>
      <c r="AL26" s="77">
        <v>170</v>
      </c>
      <c r="AM26" s="77">
        <v>35</v>
      </c>
      <c r="AN26" s="77">
        <v>78.75</v>
      </c>
      <c r="AO26" s="77">
        <v>20.59</v>
      </c>
      <c r="AP26" s="77">
        <v>1.67</v>
      </c>
      <c r="AQ26" s="77">
        <v>12.12</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6"/>
  <sheetViews>
    <sheetView showGridLines="0" zoomScaleNormal="100" workbookViewId="0"/>
  </sheetViews>
  <sheetFormatPr defaultColWidth="8.7109375" defaultRowHeight="15" x14ac:dyDescent="0.25"/>
  <cols>
    <col min="1" max="2" width="14" customWidth="1"/>
    <col min="3" max="3" width="16" customWidth="1"/>
    <col min="4" max="4" width="19" customWidth="1"/>
    <col min="5" max="5" width="16" customWidth="1"/>
    <col min="6" max="6" width="22" customWidth="1"/>
    <col min="7" max="8" width="20" customWidth="1"/>
    <col min="9" max="9" width="23" customWidth="1"/>
    <col min="10" max="10" width="20" customWidth="1"/>
    <col min="11" max="11" width="26" customWidth="1"/>
  </cols>
  <sheetData>
    <row r="1" spans="1:11" x14ac:dyDescent="0.25">
      <c r="A1" s="4" t="s">
        <v>202</v>
      </c>
      <c r="B1" s="4" t="s">
        <v>203</v>
      </c>
      <c r="C1" s="4" t="s">
        <v>80</v>
      </c>
      <c r="D1" s="4" t="s">
        <v>81</v>
      </c>
      <c r="E1" s="4" t="s">
        <v>82</v>
      </c>
      <c r="F1" s="4" t="s">
        <v>83</v>
      </c>
      <c r="G1" s="4" t="s">
        <v>79</v>
      </c>
      <c r="H1" s="4" t="s">
        <v>84</v>
      </c>
      <c r="I1" s="4" t="s">
        <v>85</v>
      </c>
      <c r="J1" s="4" t="s">
        <v>86</v>
      </c>
      <c r="K1" s="4" t="s">
        <v>87</v>
      </c>
    </row>
    <row r="2" spans="1:11" x14ac:dyDescent="0.25">
      <c r="A2" s="77">
        <v>1989</v>
      </c>
      <c r="B2" s="77">
        <v>1</v>
      </c>
      <c r="C2" s="77">
        <v>3218.2</v>
      </c>
      <c r="D2" s="77">
        <v>946</v>
      </c>
      <c r="E2" s="77">
        <v>1005.1</v>
      </c>
      <c r="F2" s="77">
        <v>154.4</v>
      </c>
      <c r="G2" s="77">
        <v>5323.7</v>
      </c>
      <c r="H2" s="77">
        <v>60.5</v>
      </c>
      <c r="I2" s="77">
        <v>17.8</v>
      </c>
      <c r="J2" s="77">
        <v>18.899999999999999</v>
      </c>
      <c r="K2" s="77">
        <v>2.9</v>
      </c>
    </row>
    <row r="3" spans="1:11" x14ac:dyDescent="0.25">
      <c r="A3" s="78">
        <v>1992</v>
      </c>
      <c r="B3" s="78">
        <v>2</v>
      </c>
      <c r="C3" s="78">
        <v>4328.8</v>
      </c>
      <c r="D3" s="78">
        <v>1545.5</v>
      </c>
      <c r="E3" s="78">
        <v>1196.5999999999999</v>
      </c>
      <c r="F3" s="78">
        <v>938.6</v>
      </c>
      <c r="G3" s="78">
        <v>8009.5</v>
      </c>
      <c r="H3" s="78">
        <v>54</v>
      </c>
      <c r="I3" s="78">
        <v>19.3</v>
      </c>
      <c r="J3" s="78">
        <v>14.9</v>
      </c>
      <c r="K3" s="78">
        <v>11.7</v>
      </c>
    </row>
    <row r="4" spans="1:11" x14ac:dyDescent="0.25">
      <c r="A4" s="77">
        <v>1996</v>
      </c>
      <c r="B4" s="77">
        <v>2</v>
      </c>
      <c r="C4" s="77">
        <v>521.79999999999995</v>
      </c>
      <c r="D4" s="77">
        <v>196.1</v>
      </c>
      <c r="E4" s="77">
        <v>252.2</v>
      </c>
      <c r="F4" s="77">
        <v>72.3</v>
      </c>
      <c r="G4" s="77">
        <v>1042.4000000000001</v>
      </c>
      <c r="H4" s="77">
        <v>50.1</v>
      </c>
      <c r="I4" s="77">
        <v>18.8</v>
      </c>
      <c r="J4" s="77">
        <v>24.2</v>
      </c>
      <c r="K4" s="77">
        <v>6.9</v>
      </c>
    </row>
    <row r="5" spans="1:11" x14ac:dyDescent="0.25">
      <c r="A5" s="78">
        <v>1998</v>
      </c>
      <c r="B5" s="78">
        <v>2</v>
      </c>
      <c r="C5" s="78">
        <v>281.39999999999998</v>
      </c>
      <c r="D5" s="78">
        <v>138.4</v>
      </c>
      <c r="E5" s="78">
        <v>23.3</v>
      </c>
      <c r="F5" s="78">
        <v>28.7</v>
      </c>
      <c r="G5" s="78">
        <v>471.8</v>
      </c>
      <c r="H5" s="78">
        <v>59.6</v>
      </c>
      <c r="I5" s="78">
        <v>29.3</v>
      </c>
      <c r="J5" s="78">
        <v>4.9000000000000004</v>
      </c>
      <c r="K5" s="78">
        <v>6.1</v>
      </c>
    </row>
    <row r="6" spans="1:11" x14ac:dyDescent="0.25">
      <c r="A6" s="77">
        <v>1999</v>
      </c>
      <c r="B6" s="77">
        <v>3</v>
      </c>
      <c r="C6" s="77">
        <v>1108.8499999999999</v>
      </c>
      <c r="D6" s="77">
        <v>307.39999999999998</v>
      </c>
      <c r="E6" s="77">
        <v>312.85000000000002</v>
      </c>
      <c r="F6" s="77">
        <v>515.5</v>
      </c>
      <c r="G6" s="77">
        <v>2244.6</v>
      </c>
      <c r="H6" s="77">
        <v>49.4</v>
      </c>
      <c r="I6" s="77">
        <v>13.7</v>
      </c>
      <c r="J6" s="77">
        <v>13.9</v>
      </c>
      <c r="K6" s="77">
        <v>23</v>
      </c>
    </row>
    <row r="7" spans="1:11" x14ac:dyDescent="0.25">
      <c r="A7" s="78">
        <v>2001</v>
      </c>
      <c r="B7" s="78">
        <v>2</v>
      </c>
      <c r="C7" s="78">
        <v>977.5</v>
      </c>
      <c r="D7" s="78">
        <v>190.1</v>
      </c>
      <c r="E7" s="78">
        <v>163.1</v>
      </c>
      <c r="F7" s="78">
        <v>260.7</v>
      </c>
      <c r="G7" s="78">
        <v>1591.4</v>
      </c>
      <c r="H7" s="78">
        <v>61.4</v>
      </c>
      <c r="I7" s="78">
        <v>11.9</v>
      </c>
      <c r="J7" s="78">
        <v>10.199999999999999</v>
      </c>
      <c r="K7" s="78">
        <v>16.399999999999999</v>
      </c>
    </row>
    <row r="8" spans="1:11" x14ac:dyDescent="0.25">
      <c r="A8" s="77">
        <v>2002</v>
      </c>
      <c r="B8" s="77">
        <v>1</v>
      </c>
      <c r="C8" s="77">
        <v>172</v>
      </c>
      <c r="D8" s="77">
        <v>86.1</v>
      </c>
      <c r="E8" s="77">
        <v>0</v>
      </c>
      <c r="F8" s="77"/>
      <c r="G8" s="77">
        <v>258.10000000000002</v>
      </c>
      <c r="H8" s="77">
        <v>66.599999999999994</v>
      </c>
      <c r="I8" s="77">
        <v>33.4</v>
      </c>
      <c r="J8" s="77">
        <v>0</v>
      </c>
      <c r="K8" s="77"/>
    </row>
    <row r="9" spans="1:11" x14ac:dyDescent="0.25">
      <c r="A9" s="78">
        <v>2004</v>
      </c>
      <c r="B9" s="78">
        <v>1</v>
      </c>
      <c r="C9" s="78">
        <v>363.3</v>
      </c>
      <c r="D9" s="78">
        <v>115.2</v>
      </c>
      <c r="E9" s="78">
        <v>145.69999999999999</v>
      </c>
      <c r="F9" s="78">
        <v>86.1</v>
      </c>
      <c r="G9" s="78">
        <v>710.3</v>
      </c>
      <c r="H9" s="78">
        <v>51.1</v>
      </c>
      <c r="I9" s="78">
        <v>16.2</v>
      </c>
      <c r="J9" s="78">
        <v>20.5</v>
      </c>
      <c r="K9" s="78">
        <v>12.1</v>
      </c>
    </row>
    <row r="10" spans="1:11" x14ac:dyDescent="0.25">
      <c r="A10" s="77">
        <v>2006</v>
      </c>
      <c r="B10" s="77">
        <v>1</v>
      </c>
      <c r="C10" s="77">
        <v>995.9</v>
      </c>
      <c r="D10" s="77">
        <v>254.1</v>
      </c>
      <c r="E10" s="77">
        <v>208</v>
      </c>
      <c r="F10" s="77">
        <v>211.8</v>
      </c>
      <c r="G10" s="77">
        <v>1669.8</v>
      </c>
      <c r="H10" s="77">
        <v>59.6</v>
      </c>
      <c r="I10" s="77">
        <v>15.2</v>
      </c>
      <c r="J10" s="77">
        <v>12.5</v>
      </c>
      <c r="K10" s="77">
        <v>12.7</v>
      </c>
    </row>
    <row r="11" spans="1:11" x14ac:dyDescent="0.25">
      <c r="A11" s="78">
        <v>2007</v>
      </c>
      <c r="B11" s="78">
        <v>1</v>
      </c>
      <c r="C11" s="78">
        <v>444.7</v>
      </c>
      <c r="D11" s="78">
        <v>137.4</v>
      </c>
      <c r="E11" s="78">
        <v>139.69999999999999</v>
      </c>
      <c r="F11" s="78">
        <v>27.9</v>
      </c>
      <c r="G11" s="78">
        <v>749.7</v>
      </c>
      <c r="H11" s="78">
        <v>59.3</v>
      </c>
      <c r="I11" s="78">
        <v>18.3</v>
      </c>
      <c r="J11" s="78">
        <v>18.600000000000001</v>
      </c>
      <c r="K11" s="78">
        <v>3.7</v>
      </c>
    </row>
    <row r="12" spans="1:11" x14ac:dyDescent="0.25">
      <c r="A12" s="77">
        <v>2011</v>
      </c>
      <c r="B12" s="77">
        <v>3</v>
      </c>
      <c r="C12" s="77">
        <v>3469.3</v>
      </c>
      <c r="D12" s="77">
        <v>459.6</v>
      </c>
      <c r="E12" s="77">
        <v>291.5</v>
      </c>
      <c r="F12" s="77">
        <v>631.6</v>
      </c>
      <c r="G12" s="77">
        <v>4852.1000000000004</v>
      </c>
      <c r="H12" s="77">
        <v>71.5</v>
      </c>
      <c r="I12" s="77">
        <v>9.5</v>
      </c>
      <c r="J12" s="77">
        <v>6</v>
      </c>
      <c r="K12" s="77">
        <v>13</v>
      </c>
    </row>
    <row r="13" spans="1:11" x14ac:dyDescent="0.25">
      <c r="A13" s="78">
        <v>2013</v>
      </c>
      <c r="B13" s="78">
        <v>2</v>
      </c>
      <c r="C13" s="78">
        <v>769.3</v>
      </c>
      <c r="D13" s="78">
        <v>293.60000000000002</v>
      </c>
      <c r="E13" s="78">
        <v>47</v>
      </c>
      <c r="F13" s="78">
        <v>198.4</v>
      </c>
      <c r="G13" s="78">
        <v>1308.3</v>
      </c>
      <c r="H13" s="78">
        <v>58.8</v>
      </c>
      <c r="I13" s="78">
        <v>22.4</v>
      </c>
      <c r="J13" s="78">
        <v>3.6</v>
      </c>
      <c r="K13" s="78">
        <v>15.2</v>
      </c>
    </row>
    <row r="14" spans="1:11" x14ac:dyDescent="0.25">
      <c r="A14" s="77">
        <v>2016</v>
      </c>
      <c r="B14" s="77">
        <v>1</v>
      </c>
      <c r="C14" s="77">
        <v>747.5</v>
      </c>
      <c r="D14" s="77">
        <v>224.5</v>
      </c>
      <c r="E14" s="77">
        <v>275.39999999999998</v>
      </c>
      <c r="F14" s="77">
        <v>103.3</v>
      </c>
      <c r="G14" s="77">
        <v>1350.7</v>
      </c>
      <c r="H14" s="77">
        <v>55.3</v>
      </c>
      <c r="I14" s="77">
        <v>16.600000000000001</v>
      </c>
      <c r="J14" s="77">
        <v>20.399999999999999</v>
      </c>
      <c r="K14" s="77">
        <v>7.6</v>
      </c>
    </row>
    <row r="15" spans="1:11" x14ac:dyDescent="0.25">
      <c r="A15" s="78">
        <v>2021</v>
      </c>
      <c r="B15" s="78">
        <v>2</v>
      </c>
      <c r="C15" s="78">
        <v>868.9</v>
      </c>
      <c r="D15" s="78">
        <v>243.7</v>
      </c>
      <c r="E15" s="78">
        <v>351.8</v>
      </c>
      <c r="F15" s="78"/>
      <c r="G15" s="78">
        <v>1464.4</v>
      </c>
      <c r="H15" s="78">
        <v>59.3</v>
      </c>
      <c r="I15" s="78">
        <v>16.600000000000001</v>
      </c>
      <c r="J15" s="78">
        <v>24</v>
      </c>
      <c r="K15" s="78"/>
    </row>
    <row r="16" spans="1:11" x14ac:dyDescent="0.25">
      <c r="A16" s="77">
        <v>2023</v>
      </c>
      <c r="B16" s="77">
        <v>1</v>
      </c>
      <c r="C16" s="77">
        <v>935.9</v>
      </c>
      <c r="D16" s="77">
        <v>115.9</v>
      </c>
      <c r="E16" s="77">
        <v>150.9</v>
      </c>
      <c r="F16" s="77"/>
      <c r="G16" s="77">
        <v>1202.7</v>
      </c>
      <c r="H16" s="77">
        <v>77.8</v>
      </c>
      <c r="I16" s="77">
        <v>9.6</v>
      </c>
      <c r="J16" s="77">
        <v>12.5</v>
      </c>
      <c r="K16" s="77"/>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26"/>
  <sheetViews>
    <sheetView showGridLines="0" topLeftCell="A5" zoomScaleNormal="100" workbookViewId="0"/>
  </sheetViews>
  <sheetFormatPr defaultColWidth="8.7109375" defaultRowHeight="15" x14ac:dyDescent="0.25"/>
  <cols>
    <col min="1" max="5" width="14" customWidth="1"/>
    <col min="6" max="6" width="16" customWidth="1"/>
    <col min="7" max="7" width="14" customWidth="1"/>
    <col min="8" max="8" width="17" customWidth="1"/>
    <col min="9" max="9" width="14" customWidth="1"/>
    <col min="10" max="10" width="19" customWidth="1"/>
    <col min="11" max="11" width="26" customWidth="1"/>
    <col min="12" max="12" width="17" customWidth="1"/>
    <col min="13" max="13" width="14" customWidth="1"/>
    <col min="14" max="14" width="18" customWidth="1"/>
  </cols>
  <sheetData>
    <row r="1" spans="1:14" x14ac:dyDescent="0.25">
      <c r="A1" s="4" t="s">
        <v>68</v>
      </c>
      <c r="B1" s="4" t="s">
        <v>69</v>
      </c>
      <c r="C1" s="4" t="s">
        <v>70</v>
      </c>
      <c r="D1" s="4" t="s">
        <v>71</v>
      </c>
      <c r="E1" s="4" t="s">
        <v>204</v>
      </c>
      <c r="F1" s="4" t="s">
        <v>205</v>
      </c>
      <c r="G1" s="4" t="s">
        <v>75</v>
      </c>
      <c r="H1" s="4" t="s">
        <v>206</v>
      </c>
      <c r="I1" s="4" t="s">
        <v>207</v>
      </c>
      <c r="J1" s="4" t="s">
        <v>208</v>
      </c>
      <c r="K1" s="4" t="s">
        <v>91</v>
      </c>
      <c r="L1" s="4" t="s">
        <v>92</v>
      </c>
      <c r="M1" s="4" t="s">
        <v>93</v>
      </c>
      <c r="N1" s="4" t="s">
        <v>164</v>
      </c>
    </row>
    <row r="2" spans="1:14" ht="24" x14ac:dyDescent="0.25">
      <c r="A2" s="77" t="s">
        <v>121</v>
      </c>
      <c r="B2" s="77" t="s">
        <v>104</v>
      </c>
      <c r="C2" s="77" t="s">
        <v>122</v>
      </c>
      <c r="D2" s="77" t="s">
        <v>57</v>
      </c>
      <c r="E2" s="77">
        <v>1989</v>
      </c>
      <c r="F2" s="77">
        <v>410.1</v>
      </c>
      <c r="G2" s="77">
        <v>1639</v>
      </c>
      <c r="H2" s="77">
        <v>1228.9000000000001</v>
      </c>
      <c r="I2" s="77">
        <v>299.66000000000003</v>
      </c>
      <c r="J2" s="77" t="s">
        <v>26</v>
      </c>
      <c r="K2" s="77">
        <v>74</v>
      </c>
      <c r="L2" s="77" t="s">
        <v>107</v>
      </c>
      <c r="M2" s="77" t="s">
        <v>93</v>
      </c>
      <c r="N2" s="77">
        <v>2</v>
      </c>
    </row>
    <row r="3" spans="1:14" ht="24" x14ac:dyDescent="0.25">
      <c r="A3" s="78" t="s">
        <v>150</v>
      </c>
      <c r="B3" s="78" t="s">
        <v>151</v>
      </c>
      <c r="C3" s="78" t="s">
        <v>99</v>
      </c>
      <c r="D3" s="78" t="s">
        <v>60</v>
      </c>
      <c r="E3" s="78">
        <v>2011</v>
      </c>
      <c r="F3" s="78">
        <v>1068.5</v>
      </c>
      <c r="G3" s="78">
        <v>2337.1</v>
      </c>
      <c r="H3" s="78">
        <v>1268.5999999999999</v>
      </c>
      <c r="I3" s="78">
        <v>118.73</v>
      </c>
      <c r="J3" s="78" t="s">
        <v>26</v>
      </c>
      <c r="K3" s="78">
        <v>25</v>
      </c>
      <c r="L3" s="78" t="s">
        <v>107</v>
      </c>
      <c r="M3" s="78" t="s">
        <v>102</v>
      </c>
      <c r="N3" s="78">
        <v>3</v>
      </c>
    </row>
    <row r="4" spans="1:14" ht="24" x14ac:dyDescent="0.25">
      <c r="A4" s="77" t="s">
        <v>132</v>
      </c>
      <c r="B4" s="77" t="s">
        <v>133</v>
      </c>
      <c r="C4" s="77" t="s">
        <v>122</v>
      </c>
      <c r="D4" s="77" t="s">
        <v>57</v>
      </c>
      <c r="E4" s="77">
        <v>2006</v>
      </c>
      <c r="F4" s="77">
        <v>700</v>
      </c>
      <c r="G4" s="77">
        <v>1114.0999999999999</v>
      </c>
      <c r="H4" s="77">
        <v>414.1</v>
      </c>
      <c r="I4" s="77">
        <v>59.16</v>
      </c>
      <c r="J4" s="77" t="s">
        <v>26</v>
      </c>
      <c r="K4" s="77">
        <v>26</v>
      </c>
      <c r="L4" s="77" t="s">
        <v>107</v>
      </c>
      <c r="M4" s="77" t="s">
        <v>93</v>
      </c>
      <c r="N4" s="77">
        <v>0</v>
      </c>
    </row>
    <row r="5" spans="1:14" ht="24" x14ac:dyDescent="0.25">
      <c r="A5" s="78" t="s">
        <v>116</v>
      </c>
      <c r="B5" s="78" t="s">
        <v>117</v>
      </c>
      <c r="C5" s="78" t="s">
        <v>114</v>
      </c>
      <c r="D5" s="78" t="s">
        <v>57</v>
      </c>
      <c r="E5" s="78">
        <v>2007</v>
      </c>
      <c r="F5" s="78">
        <v>202.8</v>
      </c>
      <c r="G5" s="78">
        <v>287.10000000000002</v>
      </c>
      <c r="H5" s="78">
        <v>84.3</v>
      </c>
      <c r="I5" s="78">
        <v>41.57</v>
      </c>
      <c r="J5" s="78" t="s">
        <v>25</v>
      </c>
      <c r="K5" s="78">
        <v>16</v>
      </c>
      <c r="L5" s="78" t="s">
        <v>107</v>
      </c>
      <c r="M5" s="78" t="s">
        <v>93</v>
      </c>
      <c r="N5" s="78">
        <v>0</v>
      </c>
    </row>
    <row r="6" spans="1:14" ht="24" x14ac:dyDescent="0.25">
      <c r="A6" s="77" t="s">
        <v>108</v>
      </c>
      <c r="B6" s="77" t="s">
        <v>109</v>
      </c>
      <c r="C6" s="77" t="s">
        <v>110</v>
      </c>
      <c r="D6" s="77" t="s">
        <v>58</v>
      </c>
      <c r="E6" s="77">
        <v>2002</v>
      </c>
      <c r="F6" s="77">
        <v>69.099999999999994</v>
      </c>
      <c r="G6" s="77">
        <v>96.8</v>
      </c>
      <c r="H6" s="77">
        <v>27.7</v>
      </c>
      <c r="I6" s="77">
        <v>40.090000000000003</v>
      </c>
      <c r="J6" s="77" t="s">
        <v>25</v>
      </c>
      <c r="K6" s="77">
        <v>1</v>
      </c>
      <c r="L6" s="77" t="s">
        <v>101</v>
      </c>
      <c r="M6" s="77" t="s">
        <v>111</v>
      </c>
      <c r="N6" s="77">
        <v>1</v>
      </c>
    </row>
    <row r="7" spans="1:14" ht="24" x14ac:dyDescent="0.25">
      <c r="A7" s="78" t="s">
        <v>97</v>
      </c>
      <c r="B7" s="78" t="s">
        <v>98</v>
      </c>
      <c r="C7" s="78" t="s">
        <v>99</v>
      </c>
      <c r="D7" s="78" t="s">
        <v>57</v>
      </c>
      <c r="E7" s="78">
        <v>2001</v>
      </c>
      <c r="F7" s="78">
        <v>267.2</v>
      </c>
      <c r="G7" s="78">
        <v>366.1</v>
      </c>
      <c r="H7" s="78">
        <v>98.9</v>
      </c>
      <c r="I7" s="78">
        <v>37.01</v>
      </c>
      <c r="J7" s="78" t="s">
        <v>25</v>
      </c>
      <c r="K7" s="78">
        <v>1</v>
      </c>
      <c r="L7" s="78" t="s">
        <v>101</v>
      </c>
      <c r="M7" s="78" t="s">
        <v>102</v>
      </c>
      <c r="N7" s="78">
        <v>1</v>
      </c>
    </row>
    <row r="8" spans="1:14" ht="24" x14ac:dyDescent="0.25">
      <c r="A8" s="77" t="s">
        <v>118</v>
      </c>
      <c r="B8" s="77" t="s">
        <v>119</v>
      </c>
      <c r="C8" s="77" t="s">
        <v>110</v>
      </c>
      <c r="D8" s="77" t="s">
        <v>58</v>
      </c>
      <c r="E8" s="77">
        <v>1998</v>
      </c>
      <c r="F8" s="77">
        <v>73.3</v>
      </c>
      <c r="G8" s="77">
        <v>99.3</v>
      </c>
      <c r="H8" s="77">
        <v>26</v>
      </c>
      <c r="I8" s="77">
        <v>35.47</v>
      </c>
      <c r="J8" s="77" t="s">
        <v>25</v>
      </c>
      <c r="K8" s="77">
        <v>0</v>
      </c>
      <c r="L8" s="77" t="s">
        <v>120</v>
      </c>
      <c r="M8" s="77" t="s">
        <v>93</v>
      </c>
      <c r="N8" s="77">
        <v>0</v>
      </c>
    </row>
    <row r="9" spans="1:14" ht="24" x14ac:dyDescent="0.25">
      <c r="A9" s="78" t="s">
        <v>144</v>
      </c>
      <c r="B9" s="78" t="s">
        <v>104</v>
      </c>
      <c r="C9" s="78" t="s">
        <v>99</v>
      </c>
      <c r="D9" s="78" t="s">
        <v>57</v>
      </c>
      <c r="E9" s="78">
        <v>1999</v>
      </c>
      <c r="F9" s="78">
        <v>334.4</v>
      </c>
      <c r="G9" s="78">
        <v>450</v>
      </c>
      <c r="H9" s="78">
        <v>115.6</v>
      </c>
      <c r="I9" s="78">
        <v>34.57</v>
      </c>
      <c r="J9" s="78" t="s">
        <v>25</v>
      </c>
      <c r="K9" s="78">
        <v>1</v>
      </c>
      <c r="L9" s="78" t="s">
        <v>101</v>
      </c>
      <c r="M9" s="78" t="s">
        <v>93</v>
      </c>
      <c r="N9" s="78">
        <v>1</v>
      </c>
    </row>
    <row r="10" spans="1:14" ht="24" x14ac:dyDescent="0.25">
      <c r="A10" s="77" t="s">
        <v>123</v>
      </c>
      <c r="B10" s="77" t="s">
        <v>124</v>
      </c>
      <c r="C10" s="77" t="s">
        <v>125</v>
      </c>
      <c r="D10" s="77" t="s">
        <v>59</v>
      </c>
      <c r="E10" s="77">
        <v>2001</v>
      </c>
      <c r="F10" s="77">
        <v>126.1</v>
      </c>
      <c r="G10" s="77">
        <v>162.9</v>
      </c>
      <c r="H10" s="77">
        <v>36.799999999999997</v>
      </c>
      <c r="I10" s="77">
        <v>29.18</v>
      </c>
      <c r="J10" s="77" t="s">
        <v>25</v>
      </c>
      <c r="K10" s="77">
        <v>9</v>
      </c>
      <c r="L10" s="77" t="s">
        <v>101</v>
      </c>
      <c r="M10" s="77" t="s">
        <v>93</v>
      </c>
      <c r="N10" s="77">
        <v>1</v>
      </c>
    </row>
    <row r="11" spans="1:14" ht="24" x14ac:dyDescent="0.25">
      <c r="A11" s="78" t="s">
        <v>156</v>
      </c>
      <c r="B11" s="78" t="s">
        <v>157</v>
      </c>
      <c r="C11" s="78" t="s">
        <v>158</v>
      </c>
      <c r="D11" s="78" t="s">
        <v>57</v>
      </c>
      <c r="E11" s="78">
        <v>2023</v>
      </c>
      <c r="F11" s="78">
        <v>925</v>
      </c>
      <c r="G11" s="78">
        <v>1108.0999999999999</v>
      </c>
      <c r="H11" s="78">
        <v>183.1</v>
      </c>
      <c r="I11" s="78">
        <v>19.79</v>
      </c>
      <c r="J11" s="78" t="s">
        <v>24</v>
      </c>
      <c r="K11" s="78">
        <v>13</v>
      </c>
      <c r="L11" s="78" t="s">
        <v>107</v>
      </c>
      <c r="M11" s="78" t="s">
        <v>102</v>
      </c>
      <c r="N11" s="78">
        <v>0</v>
      </c>
    </row>
    <row r="12" spans="1:14" ht="24" x14ac:dyDescent="0.25">
      <c r="A12" s="77" t="s">
        <v>147</v>
      </c>
      <c r="B12" s="77" t="s">
        <v>148</v>
      </c>
      <c r="C12" s="77" t="s">
        <v>149</v>
      </c>
      <c r="D12" s="77" t="s">
        <v>57</v>
      </c>
      <c r="E12" s="77">
        <v>2004</v>
      </c>
      <c r="F12" s="77">
        <v>326.2</v>
      </c>
      <c r="G12" s="77">
        <v>390</v>
      </c>
      <c r="H12" s="77">
        <v>63.8</v>
      </c>
      <c r="I12" s="77">
        <v>19.559999999999999</v>
      </c>
      <c r="J12" s="77" t="s">
        <v>24</v>
      </c>
      <c r="K12" s="77">
        <v>6</v>
      </c>
      <c r="L12" s="77" t="s">
        <v>101</v>
      </c>
      <c r="M12" s="77" t="s">
        <v>93</v>
      </c>
      <c r="N12" s="77">
        <v>0</v>
      </c>
    </row>
    <row r="13" spans="1:14" ht="24" x14ac:dyDescent="0.25">
      <c r="A13" s="78" t="s">
        <v>112</v>
      </c>
      <c r="B13" s="78" t="s">
        <v>113</v>
      </c>
      <c r="C13" s="78" t="s">
        <v>114</v>
      </c>
      <c r="D13" s="78" t="s">
        <v>61</v>
      </c>
      <c r="E13" s="78">
        <v>2021</v>
      </c>
      <c r="F13" s="78">
        <v>219</v>
      </c>
      <c r="G13" s="78">
        <v>258.3</v>
      </c>
      <c r="H13" s="78">
        <v>39.299999999999997</v>
      </c>
      <c r="I13" s="78">
        <v>17.95</v>
      </c>
      <c r="J13" s="78" t="s">
        <v>24</v>
      </c>
      <c r="K13" s="78">
        <v>6</v>
      </c>
      <c r="L13" s="78" t="s">
        <v>101</v>
      </c>
      <c r="M13" s="78" t="s">
        <v>93</v>
      </c>
      <c r="N13" s="78">
        <v>0</v>
      </c>
    </row>
    <row r="14" spans="1:14" ht="24" x14ac:dyDescent="0.25">
      <c r="A14" s="77" t="s">
        <v>143</v>
      </c>
      <c r="B14" s="77" t="s">
        <v>104</v>
      </c>
      <c r="C14" s="77" t="s">
        <v>99</v>
      </c>
      <c r="D14" s="77" t="s">
        <v>57</v>
      </c>
      <c r="E14" s="77">
        <v>1992</v>
      </c>
      <c r="F14" s="77">
        <v>458.6</v>
      </c>
      <c r="G14" s="77">
        <v>511.2</v>
      </c>
      <c r="H14" s="77">
        <v>52.6</v>
      </c>
      <c r="I14" s="77">
        <v>11.47</v>
      </c>
      <c r="J14" s="77" t="s">
        <v>24</v>
      </c>
      <c r="K14" s="77">
        <v>0</v>
      </c>
      <c r="L14" s="77" t="s">
        <v>120</v>
      </c>
      <c r="M14" s="77" t="s">
        <v>111</v>
      </c>
      <c r="N14" s="77">
        <v>1</v>
      </c>
    </row>
    <row r="15" spans="1:14" ht="24" x14ac:dyDescent="0.25">
      <c r="A15" s="78" t="s">
        <v>159</v>
      </c>
      <c r="B15" s="78" t="s">
        <v>160</v>
      </c>
      <c r="C15" s="78" t="s">
        <v>110</v>
      </c>
      <c r="D15" s="78" t="s">
        <v>59</v>
      </c>
      <c r="E15" s="78">
        <v>1999</v>
      </c>
      <c r="F15" s="78">
        <v>117.8</v>
      </c>
      <c r="G15" s="78">
        <v>126.4</v>
      </c>
      <c r="H15" s="78">
        <v>8.6</v>
      </c>
      <c r="I15" s="78">
        <v>7.3</v>
      </c>
      <c r="J15" s="78" t="s">
        <v>24</v>
      </c>
      <c r="K15" s="78">
        <v>0</v>
      </c>
      <c r="L15" s="78" t="s">
        <v>120</v>
      </c>
      <c r="M15" s="78" t="s">
        <v>93</v>
      </c>
      <c r="N15" s="78">
        <v>1</v>
      </c>
    </row>
    <row r="16" spans="1:14" ht="24" x14ac:dyDescent="0.25">
      <c r="A16" s="77" t="s">
        <v>134</v>
      </c>
      <c r="B16" s="77" t="s">
        <v>104</v>
      </c>
      <c r="C16" s="77" t="s">
        <v>128</v>
      </c>
      <c r="D16" s="77" t="s">
        <v>57</v>
      </c>
      <c r="E16" s="77">
        <v>2013</v>
      </c>
      <c r="F16" s="77">
        <v>262.89999999999998</v>
      </c>
      <c r="G16" s="77">
        <v>279.2</v>
      </c>
      <c r="H16" s="77">
        <v>16.3</v>
      </c>
      <c r="I16" s="77">
        <v>6.2</v>
      </c>
      <c r="J16" s="77" t="s">
        <v>24</v>
      </c>
      <c r="K16" s="77">
        <v>12</v>
      </c>
      <c r="L16" s="77" t="s">
        <v>101</v>
      </c>
      <c r="M16" s="77" t="s">
        <v>93</v>
      </c>
      <c r="N16" s="77">
        <v>0</v>
      </c>
    </row>
    <row r="17" spans="1:14" ht="24" x14ac:dyDescent="0.25">
      <c r="A17" s="78" t="s">
        <v>126</v>
      </c>
      <c r="B17" s="78" t="s">
        <v>127</v>
      </c>
      <c r="C17" s="78" t="s">
        <v>128</v>
      </c>
      <c r="D17" s="78" t="s">
        <v>57</v>
      </c>
      <c r="E17" s="78">
        <v>2011</v>
      </c>
      <c r="F17" s="78">
        <v>213.5</v>
      </c>
      <c r="G17" s="78">
        <v>224.35</v>
      </c>
      <c r="H17" s="78">
        <v>10.85</v>
      </c>
      <c r="I17" s="78">
        <v>5.08</v>
      </c>
      <c r="J17" s="78" t="s">
        <v>24</v>
      </c>
      <c r="K17" s="78">
        <v>2</v>
      </c>
      <c r="L17" s="78" t="s">
        <v>101</v>
      </c>
      <c r="M17" s="78" t="s">
        <v>93</v>
      </c>
      <c r="N17" s="78">
        <v>0</v>
      </c>
    </row>
    <row r="18" spans="1:14" ht="24" x14ac:dyDescent="0.25">
      <c r="A18" s="77" t="s">
        <v>130</v>
      </c>
      <c r="B18" s="77" t="s">
        <v>131</v>
      </c>
      <c r="C18" s="77" t="s">
        <v>128</v>
      </c>
      <c r="D18" s="77" t="s">
        <v>57</v>
      </c>
      <c r="E18" s="77">
        <v>2011</v>
      </c>
      <c r="F18" s="77">
        <v>213.5</v>
      </c>
      <c r="G18" s="77">
        <v>224.35</v>
      </c>
      <c r="H18" s="77">
        <v>10.85</v>
      </c>
      <c r="I18" s="77">
        <v>5.08</v>
      </c>
      <c r="J18" s="77" t="s">
        <v>24</v>
      </c>
      <c r="K18" s="77">
        <v>2</v>
      </c>
      <c r="L18" s="77" t="s">
        <v>101</v>
      </c>
      <c r="M18" s="77" t="s">
        <v>93</v>
      </c>
      <c r="N18" s="77">
        <v>0</v>
      </c>
    </row>
    <row r="19" spans="1:14" ht="24" x14ac:dyDescent="0.25">
      <c r="A19" s="78" t="s">
        <v>135</v>
      </c>
      <c r="B19" s="78" t="s">
        <v>136</v>
      </c>
      <c r="C19" s="78" t="s">
        <v>122</v>
      </c>
      <c r="D19" s="78" t="s">
        <v>58</v>
      </c>
      <c r="E19" s="78">
        <v>2021</v>
      </c>
      <c r="F19" s="78">
        <v>990</v>
      </c>
      <c r="G19" s="78">
        <v>999.2</v>
      </c>
      <c r="H19" s="78">
        <v>9.1999999999999993</v>
      </c>
      <c r="I19" s="78">
        <v>0.93</v>
      </c>
      <c r="J19" s="78" t="s">
        <v>24</v>
      </c>
      <c r="K19" s="78">
        <v>0</v>
      </c>
      <c r="L19" s="78" t="s">
        <v>120</v>
      </c>
      <c r="M19" s="78" t="s">
        <v>102</v>
      </c>
      <c r="N19" s="78">
        <v>0</v>
      </c>
    </row>
    <row r="20" spans="1:14" ht="24" x14ac:dyDescent="0.25">
      <c r="A20" s="77" t="s">
        <v>137</v>
      </c>
      <c r="B20" s="77" t="s">
        <v>138</v>
      </c>
      <c r="C20" s="77" t="s">
        <v>128</v>
      </c>
      <c r="D20" s="77" t="s">
        <v>57</v>
      </c>
      <c r="E20" s="77">
        <v>1998</v>
      </c>
      <c r="F20" s="77">
        <v>61.3</v>
      </c>
      <c r="G20" s="77">
        <v>61.7</v>
      </c>
      <c r="H20" s="77">
        <v>0.4</v>
      </c>
      <c r="I20" s="77">
        <v>0.65</v>
      </c>
      <c r="J20" s="77" t="s">
        <v>24</v>
      </c>
      <c r="K20" s="77">
        <v>4</v>
      </c>
      <c r="L20" s="77" t="s">
        <v>101</v>
      </c>
      <c r="M20" s="77" t="s">
        <v>93</v>
      </c>
      <c r="N20" s="77">
        <v>0</v>
      </c>
    </row>
    <row r="21" spans="1:14" ht="24" x14ac:dyDescent="0.25">
      <c r="A21" s="78" t="s">
        <v>139</v>
      </c>
      <c r="B21" s="78" t="s">
        <v>140</v>
      </c>
      <c r="C21" s="78" t="s">
        <v>99</v>
      </c>
      <c r="D21" s="78" t="s">
        <v>57</v>
      </c>
      <c r="E21" s="78">
        <v>1999</v>
      </c>
      <c r="F21" s="78">
        <v>183.6</v>
      </c>
      <c r="G21" s="78">
        <v>183.25</v>
      </c>
      <c r="H21" s="78">
        <v>-0.35</v>
      </c>
      <c r="I21" s="78">
        <v>-0.19</v>
      </c>
      <c r="J21" s="78" t="s">
        <v>23</v>
      </c>
      <c r="K21" s="78">
        <v>0</v>
      </c>
      <c r="L21" s="78" t="s">
        <v>120</v>
      </c>
      <c r="M21" s="78" t="s">
        <v>111</v>
      </c>
      <c r="N21" s="78">
        <v>0</v>
      </c>
    </row>
    <row r="22" spans="1:14" x14ac:dyDescent="0.25">
      <c r="A22" s="77" t="s">
        <v>145</v>
      </c>
      <c r="B22" s="77" t="s">
        <v>146</v>
      </c>
      <c r="C22" s="77" t="s">
        <v>99</v>
      </c>
      <c r="D22" s="77" t="s">
        <v>57</v>
      </c>
      <c r="E22" s="77">
        <v>2013</v>
      </c>
      <c r="F22" s="77">
        <v>567.20000000000005</v>
      </c>
      <c r="G22" s="77">
        <v>551.1</v>
      </c>
      <c r="H22" s="77">
        <v>-16.100000000000001</v>
      </c>
      <c r="I22" s="77">
        <v>-2.84</v>
      </c>
      <c r="J22" s="77" t="s">
        <v>23</v>
      </c>
      <c r="K22" s="77">
        <v>0</v>
      </c>
      <c r="L22" s="77" t="s">
        <v>120</v>
      </c>
      <c r="M22" s="77" t="s">
        <v>102</v>
      </c>
      <c r="N22" s="77">
        <v>0</v>
      </c>
    </row>
    <row r="23" spans="1:14" ht="24" x14ac:dyDescent="0.25">
      <c r="A23" s="78" t="s">
        <v>103</v>
      </c>
      <c r="B23" s="78" t="s">
        <v>104</v>
      </c>
      <c r="C23" s="78" t="s">
        <v>105</v>
      </c>
      <c r="D23" s="78" t="s">
        <v>57</v>
      </c>
      <c r="E23" s="78">
        <v>1992</v>
      </c>
      <c r="F23" s="78">
        <v>1436.4</v>
      </c>
      <c r="G23" s="78">
        <v>1375.9</v>
      </c>
      <c r="H23" s="78">
        <v>-60.5</v>
      </c>
      <c r="I23" s="78">
        <v>-4.21</v>
      </c>
      <c r="J23" s="78" t="s">
        <v>23</v>
      </c>
      <c r="K23" s="78">
        <v>18</v>
      </c>
      <c r="L23" s="78" t="s">
        <v>107</v>
      </c>
      <c r="M23" s="78" t="s">
        <v>93</v>
      </c>
      <c r="N23" s="78">
        <v>1</v>
      </c>
    </row>
    <row r="24" spans="1:14" ht="24" x14ac:dyDescent="0.25">
      <c r="A24" s="77" t="s">
        <v>141</v>
      </c>
      <c r="B24" s="77" t="s">
        <v>104</v>
      </c>
      <c r="C24" s="77" t="s">
        <v>99</v>
      </c>
      <c r="D24" s="77" t="s">
        <v>57</v>
      </c>
      <c r="E24" s="77">
        <v>1996</v>
      </c>
      <c r="F24" s="77">
        <v>140.19999999999999</v>
      </c>
      <c r="G24" s="77">
        <v>130.69999999999999</v>
      </c>
      <c r="H24" s="77">
        <v>-9.5</v>
      </c>
      <c r="I24" s="77">
        <v>-6.78</v>
      </c>
      <c r="J24" s="77" t="s">
        <v>23</v>
      </c>
      <c r="K24" s="77">
        <v>-1</v>
      </c>
      <c r="L24" s="77" t="s">
        <v>142</v>
      </c>
      <c r="M24" s="77" t="s">
        <v>93</v>
      </c>
      <c r="N24" s="77">
        <v>1</v>
      </c>
    </row>
    <row r="25" spans="1:14" ht="24" x14ac:dyDescent="0.25">
      <c r="A25" s="78" t="s">
        <v>152</v>
      </c>
      <c r="B25" s="78" t="s">
        <v>153</v>
      </c>
      <c r="C25" s="78" t="s">
        <v>114</v>
      </c>
      <c r="D25" s="78" t="s">
        <v>57</v>
      </c>
      <c r="E25" s="78">
        <v>1996</v>
      </c>
      <c r="F25" s="78">
        <v>249.4</v>
      </c>
      <c r="G25" s="78">
        <v>230.8</v>
      </c>
      <c r="H25" s="78">
        <v>-18.600000000000001</v>
      </c>
      <c r="I25" s="78">
        <v>-7.46</v>
      </c>
      <c r="J25" s="78" t="s">
        <v>23</v>
      </c>
      <c r="K25" s="78">
        <v>-1</v>
      </c>
      <c r="L25" s="78" t="s">
        <v>142</v>
      </c>
      <c r="M25" s="78" t="s">
        <v>93</v>
      </c>
      <c r="N25" s="78">
        <v>0</v>
      </c>
    </row>
    <row r="26" spans="1:14" x14ac:dyDescent="0.25">
      <c r="A26" s="77" t="s">
        <v>154</v>
      </c>
      <c r="B26" s="77" t="s">
        <v>155</v>
      </c>
      <c r="C26" s="77" t="s">
        <v>114</v>
      </c>
      <c r="D26" s="77" t="s">
        <v>59</v>
      </c>
      <c r="E26" s="77">
        <v>2016</v>
      </c>
      <c r="F26" s="77">
        <v>865.9</v>
      </c>
      <c r="G26" s="77">
        <v>775.1</v>
      </c>
      <c r="H26" s="77">
        <v>-90.8</v>
      </c>
      <c r="I26" s="77">
        <v>-10.49</v>
      </c>
      <c r="J26" s="77" t="s">
        <v>23</v>
      </c>
      <c r="K26" s="77">
        <v>0</v>
      </c>
      <c r="L26" s="77" t="s">
        <v>120</v>
      </c>
      <c r="M26" s="77" t="s">
        <v>102</v>
      </c>
      <c r="N26" s="77">
        <v>0</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7"/>
  <sheetViews>
    <sheetView showGridLines="0" zoomScaleNormal="100" workbookViewId="0"/>
  </sheetViews>
  <sheetFormatPr defaultColWidth="8.7109375" defaultRowHeight="15" x14ac:dyDescent="0.25"/>
  <cols>
    <col min="1" max="2" width="14" customWidth="1"/>
    <col min="3" max="3" width="23" customWidth="1"/>
    <col min="4" max="4" width="22" customWidth="1"/>
    <col min="5" max="5" width="21" customWidth="1"/>
    <col min="6" max="6" width="16" customWidth="1"/>
    <col min="7" max="7" width="15" customWidth="1"/>
    <col min="8" max="8" width="23" customWidth="1"/>
    <col min="9" max="9" width="22" customWidth="1"/>
    <col min="10" max="10" width="16" customWidth="1"/>
    <col min="11" max="11" width="24" customWidth="1"/>
    <col min="12" max="12" width="14" customWidth="1"/>
  </cols>
  <sheetData>
    <row r="1" spans="1:12" x14ac:dyDescent="0.25">
      <c r="A1" s="4" t="s">
        <v>209</v>
      </c>
      <c r="B1" s="4" t="s">
        <v>203</v>
      </c>
      <c r="C1" s="4" t="s">
        <v>210</v>
      </c>
      <c r="D1" s="4" t="s">
        <v>211</v>
      </c>
      <c r="E1" s="4" t="s">
        <v>212</v>
      </c>
      <c r="F1" s="4" t="s">
        <v>213</v>
      </c>
      <c r="G1" s="4" t="s">
        <v>214</v>
      </c>
      <c r="H1" s="4" t="s">
        <v>215</v>
      </c>
      <c r="I1" s="4" t="s">
        <v>216</v>
      </c>
      <c r="J1" s="4" t="s">
        <v>217</v>
      </c>
      <c r="K1" s="4" t="s">
        <v>218</v>
      </c>
      <c r="L1" s="4" t="s">
        <v>219</v>
      </c>
    </row>
    <row r="2" spans="1:12" x14ac:dyDescent="0.25">
      <c r="A2" s="77" t="s">
        <v>57</v>
      </c>
      <c r="B2" s="77">
        <v>17</v>
      </c>
      <c r="C2" s="77">
        <v>6952.3</v>
      </c>
      <c r="D2" s="77">
        <v>8012.16</v>
      </c>
      <c r="E2" s="77">
        <v>1059.8599999999999</v>
      </c>
      <c r="F2" s="77">
        <v>9072.02</v>
      </c>
      <c r="G2" s="77">
        <v>2119.7199999999998</v>
      </c>
      <c r="H2" s="77">
        <v>10131.870000000001</v>
      </c>
      <c r="I2" s="77">
        <v>3179.57</v>
      </c>
      <c r="J2" s="77">
        <v>2119.7199999999998</v>
      </c>
      <c r="K2" s="77">
        <v>30.49</v>
      </c>
      <c r="L2" s="77">
        <v>1</v>
      </c>
    </row>
    <row r="3" spans="1:12" x14ac:dyDescent="0.25">
      <c r="A3" s="78" t="s">
        <v>58</v>
      </c>
      <c r="B3" s="78">
        <v>3</v>
      </c>
      <c r="C3" s="78">
        <v>1132.4000000000001</v>
      </c>
      <c r="D3" s="78">
        <v>1276.76</v>
      </c>
      <c r="E3" s="78">
        <v>144.36000000000001</v>
      </c>
      <c r="F3" s="78">
        <v>1421.12</v>
      </c>
      <c r="G3" s="78">
        <v>288.72000000000003</v>
      </c>
      <c r="H3" s="78">
        <v>1565.49</v>
      </c>
      <c r="I3" s="78">
        <v>433.09</v>
      </c>
      <c r="J3" s="78">
        <v>288.72000000000003</v>
      </c>
      <c r="K3" s="78">
        <v>25.5</v>
      </c>
      <c r="L3" s="78">
        <v>1</v>
      </c>
    </row>
    <row r="4" spans="1:12" x14ac:dyDescent="0.25">
      <c r="A4" s="77" t="s">
        <v>59</v>
      </c>
      <c r="B4" s="77">
        <v>3</v>
      </c>
      <c r="C4" s="77">
        <v>1109.8</v>
      </c>
      <c r="D4" s="77">
        <v>1157.8699999999999</v>
      </c>
      <c r="E4" s="77">
        <v>48.07</v>
      </c>
      <c r="F4" s="77">
        <v>1205.95</v>
      </c>
      <c r="G4" s="77">
        <v>96.15</v>
      </c>
      <c r="H4" s="77">
        <v>1254.02</v>
      </c>
      <c r="I4" s="77">
        <v>144.22</v>
      </c>
      <c r="J4" s="77">
        <v>96.15</v>
      </c>
      <c r="K4" s="77">
        <v>8.66</v>
      </c>
      <c r="L4" s="77">
        <v>1</v>
      </c>
    </row>
    <row r="5" spans="1:12" x14ac:dyDescent="0.25">
      <c r="A5" s="78" t="s">
        <v>60</v>
      </c>
      <c r="B5" s="78">
        <v>1</v>
      </c>
      <c r="C5" s="78">
        <v>1068.5</v>
      </c>
      <c r="D5" s="78">
        <v>1702.82</v>
      </c>
      <c r="E5" s="78">
        <v>634.32000000000005</v>
      </c>
      <c r="F5" s="78">
        <v>2337.13</v>
      </c>
      <c r="G5" s="78">
        <v>1268.6300000000001</v>
      </c>
      <c r="H5" s="78">
        <v>2971.45</v>
      </c>
      <c r="I5" s="78">
        <v>1902.95</v>
      </c>
      <c r="J5" s="78">
        <v>1268.6300000000001</v>
      </c>
      <c r="K5" s="78">
        <v>118.73</v>
      </c>
      <c r="L5" s="78">
        <v>1</v>
      </c>
    </row>
    <row r="6" spans="1:12" x14ac:dyDescent="0.25">
      <c r="A6" s="77" t="s">
        <v>61</v>
      </c>
      <c r="B6" s="77">
        <v>1</v>
      </c>
      <c r="C6" s="77">
        <v>219</v>
      </c>
      <c r="D6" s="77">
        <v>238.66</v>
      </c>
      <c r="E6" s="77">
        <v>19.66</v>
      </c>
      <c r="F6" s="77">
        <v>258.31</v>
      </c>
      <c r="G6" s="77">
        <v>39.31</v>
      </c>
      <c r="H6" s="77">
        <v>277.97000000000003</v>
      </c>
      <c r="I6" s="77">
        <v>58.97</v>
      </c>
      <c r="J6" s="77">
        <v>39.31</v>
      </c>
      <c r="K6" s="77">
        <v>17.95</v>
      </c>
      <c r="L6" s="77">
        <v>1</v>
      </c>
    </row>
    <row r="7" spans="1:12" ht="24" x14ac:dyDescent="0.25">
      <c r="A7" s="78" t="s">
        <v>62</v>
      </c>
      <c r="B7" s="78">
        <v>25</v>
      </c>
      <c r="C7" s="78">
        <v>10482</v>
      </c>
      <c r="D7" s="78">
        <v>12388.26</v>
      </c>
      <c r="E7" s="78">
        <v>1906.26</v>
      </c>
      <c r="F7" s="78">
        <v>14294.53</v>
      </c>
      <c r="G7" s="78">
        <v>3812.53</v>
      </c>
      <c r="H7" s="78">
        <v>16200.79</v>
      </c>
      <c r="I7" s="78">
        <v>5718.79</v>
      </c>
      <c r="J7" s="78">
        <v>3812.53</v>
      </c>
      <c r="K7" s="78">
        <v>30.3</v>
      </c>
      <c r="L7" s="78">
        <v>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26"/>
  <sheetViews>
    <sheetView showGridLines="0" zoomScaleNormal="100" workbookViewId="0"/>
  </sheetViews>
  <sheetFormatPr defaultColWidth="8.7109375" defaultRowHeight="15" x14ac:dyDescent="0.25"/>
  <cols>
    <col min="1" max="2" width="14" customWidth="1"/>
    <col min="3" max="3" width="17" customWidth="1"/>
    <col min="4" max="4" width="26" customWidth="1"/>
    <col min="5" max="6" width="20" customWidth="1"/>
    <col min="7" max="7" width="24" customWidth="1"/>
  </cols>
  <sheetData>
    <row r="1" spans="1:7" x14ac:dyDescent="0.25">
      <c r="A1" s="4" t="s">
        <v>71</v>
      </c>
      <c r="B1" s="4" t="s">
        <v>220</v>
      </c>
      <c r="C1" s="4" t="s">
        <v>221</v>
      </c>
      <c r="D1" s="4" t="s">
        <v>222</v>
      </c>
      <c r="E1" s="4" t="s">
        <v>223</v>
      </c>
      <c r="F1" s="4" t="s">
        <v>224</v>
      </c>
      <c r="G1" s="4" t="s">
        <v>218</v>
      </c>
    </row>
    <row r="2" spans="1:7" x14ac:dyDescent="0.25">
      <c r="A2" s="77" t="s">
        <v>58</v>
      </c>
      <c r="B2" s="77">
        <v>1</v>
      </c>
      <c r="C2" s="77">
        <v>581.71</v>
      </c>
      <c r="D2" s="77">
        <v>730.05</v>
      </c>
      <c r="E2" s="77">
        <v>338.97</v>
      </c>
      <c r="F2" s="77">
        <v>117.29</v>
      </c>
      <c r="G2" s="77">
        <v>25.5</v>
      </c>
    </row>
    <row r="3" spans="1:7" x14ac:dyDescent="0.25">
      <c r="A3" s="78" t="s">
        <v>58</v>
      </c>
      <c r="B3" s="78">
        <v>2</v>
      </c>
      <c r="C3" s="78">
        <v>599.16</v>
      </c>
      <c r="D3" s="78">
        <v>751.95</v>
      </c>
      <c r="E3" s="78">
        <v>349.14</v>
      </c>
      <c r="F3" s="78">
        <v>120.8</v>
      </c>
      <c r="G3" s="78">
        <v>25.5</v>
      </c>
    </row>
    <row r="4" spans="1:7" x14ac:dyDescent="0.25">
      <c r="A4" s="77" t="s">
        <v>58</v>
      </c>
      <c r="B4" s="77">
        <v>3</v>
      </c>
      <c r="C4" s="77">
        <v>617.14</v>
      </c>
      <c r="D4" s="77">
        <v>774.51</v>
      </c>
      <c r="E4" s="77">
        <v>359.62</v>
      </c>
      <c r="F4" s="77">
        <v>124.43</v>
      </c>
      <c r="G4" s="77">
        <v>25.5</v>
      </c>
    </row>
    <row r="5" spans="1:7" x14ac:dyDescent="0.25">
      <c r="A5" s="78" t="s">
        <v>58</v>
      </c>
      <c r="B5" s="78">
        <v>4</v>
      </c>
      <c r="C5" s="78">
        <v>635.65</v>
      </c>
      <c r="D5" s="78">
        <v>797.75</v>
      </c>
      <c r="E5" s="78">
        <v>370.4</v>
      </c>
      <c r="F5" s="78">
        <v>128.16</v>
      </c>
      <c r="G5" s="78">
        <v>25.5</v>
      </c>
    </row>
    <row r="6" spans="1:7" x14ac:dyDescent="0.25">
      <c r="A6" s="77" t="s">
        <v>58</v>
      </c>
      <c r="B6" s="77">
        <v>5</v>
      </c>
      <c r="C6" s="77">
        <v>654.72</v>
      </c>
      <c r="D6" s="77">
        <v>821.68</v>
      </c>
      <c r="E6" s="77">
        <v>381.52</v>
      </c>
      <c r="F6" s="77">
        <v>132.01</v>
      </c>
      <c r="G6" s="77">
        <v>25.5</v>
      </c>
    </row>
    <row r="7" spans="1:7" x14ac:dyDescent="0.25">
      <c r="A7" s="78" t="s">
        <v>61</v>
      </c>
      <c r="B7" s="78">
        <v>1</v>
      </c>
      <c r="C7" s="78">
        <v>386.04</v>
      </c>
      <c r="D7" s="78">
        <v>455.34</v>
      </c>
      <c r="E7" s="78">
        <v>283.04000000000002</v>
      </c>
      <c r="F7" s="78">
        <v>24.41</v>
      </c>
      <c r="G7" s="78">
        <v>17.95</v>
      </c>
    </row>
    <row r="8" spans="1:7" x14ac:dyDescent="0.25">
      <c r="A8" s="77" t="s">
        <v>61</v>
      </c>
      <c r="B8" s="77">
        <v>2</v>
      </c>
      <c r="C8" s="77">
        <v>397.63</v>
      </c>
      <c r="D8" s="77">
        <v>469</v>
      </c>
      <c r="E8" s="77">
        <v>291.54000000000002</v>
      </c>
      <c r="F8" s="77">
        <v>25.14</v>
      </c>
      <c r="G8" s="77">
        <v>17.95</v>
      </c>
    </row>
    <row r="9" spans="1:7" x14ac:dyDescent="0.25">
      <c r="A9" s="78" t="s">
        <v>61</v>
      </c>
      <c r="B9" s="78">
        <v>3</v>
      </c>
      <c r="C9" s="78">
        <v>409.55</v>
      </c>
      <c r="D9" s="78">
        <v>483.07</v>
      </c>
      <c r="E9" s="78">
        <v>300.27999999999997</v>
      </c>
      <c r="F9" s="78">
        <v>25.9</v>
      </c>
      <c r="G9" s="78">
        <v>17.95</v>
      </c>
    </row>
    <row r="10" spans="1:7" x14ac:dyDescent="0.25">
      <c r="A10" s="77" t="s">
        <v>61</v>
      </c>
      <c r="B10" s="77">
        <v>4</v>
      </c>
      <c r="C10" s="77">
        <v>421.84</v>
      </c>
      <c r="D10" s="77">
        <v>497.56</v>
      </c>
      <c r="E10" s="77">
        <v>309.29000000000002</v>
      </c>
      <c r="F10" s="77">
        <v>26.67</v>
      </c>
      <c r="G10" s="77">
        <v>17.95</v>
      </c>
    </row>
    <row r="11" spans="1:7" x14ac:dyDescent="0.25">
      <c r="A11" s="78" t="s">
        <v>61</v>
      </c>
      <c r="B11" s="78">
        <v>5</v>
      </c>
      <c r="C11" s="78">
        <v>434.5</v>
      </c>
      <c r="D11" s="78">
        <v>512.49</v>
      </c>
      <c r="E11" s="78">
        <v>318.57</v>
      </c>
      <c r="F11" s="78">
        <v>27.47</v>
      </c>
      <c r="G11" s="78">
        <v>17.95</v>
      </c>
    </row>
    <row r="12" spans="1:7" x14ac:dyDescent="0.25">
      <c r="A12" s="77" t="s">
        <v>57</v>
      </c>
      <c r="B12" s="77">
        <v>1</v>
      </c>
      <c r="C12" s="77">
        <v>1437.72</v>
      </c>
      <c r="D12" s="77">
        <v>1876.07</v>
      </c>
      <c r="E12" s="77">
        <v>822.84</v>
      </c>
      <c r="F12" s="77">
        <v>213.12</v>
      </c>
      <c r="G12" s="77">
        <v>30.49</v>
      </c>
    </row>
    <row r="13" spans="1:7" x14ac:dyDescent="0.25">
      <c r="A13" s="78" t="s">
        <v>57</v>
      </c>
      <c r="B13" s="78">
        <v>2</v>
      </c>
      <c r="C13" s="78">
        <v>1480.85</v>
      </c>
      <c r="D13" s="78">
        <v>1932.36</v>
      </c>
      <c r="E13" s="78">
        <v>847.52</v>
      </c>
      <c r="F13" s="78">
        <v>219.51</v>
      </c>
      <c r="G13" s="78">
        <v>30.49</v>
      </c>
    </row>
    <row r="14" spans="1:7" x14ac:dyDescent="0.25">
      <c r="A14" s="77" t="s">
        <v>57</v>
      </c>
      <c r="B14" s="77">
        <v>3</v>
      </c>
      <c r="C14" s="77">
        <v>1525.27</v>
      </c>
      <c r="D14" s="77">
        <v>1990.33</v>
      </c>
      <c r="E14" s="77">
        <v>872.95</v>
      </c>
      <c r="F14" s="77">
        <v>226.1</v>
      </c>
      <c r="G14" s="77">
        <v>30.49</v>
      </c>
    </row>
    <row r="15" spans="1:7" x14ac:dyDescent="0.25">
      <c r="A15" s="78" t="s">
        <v>57</v>
      </c>
      <c r="B15" s="78">
        <v>4</v>
      </c>
      <c r="C15" s="78">
        <v>1571.03</v>
      </c>
      <c r="D15" s="78">
        <v>2050.04</v>
      </c>
      <c r="E15" s="78">
        <v>899.14</v>
      </c>
      <c r="F15" s="78">
        <v>232.88</v>
      </c>
      <c r="G15" s="78">
        <v>30.49</v>
      </c>
    </row>
    <row r="16" spans="1:7" x14ac:dyDescent="0.25">
      <c r="A16" s="77" t="s">
        <v>57</v>
      </c>
      <c r="B16" s="77">
        <v>5</v>
      </c>
      <c r="C16" s="77">
        <v>1618.16</v>
      </c>
      <c r="D16" s="77">
        <v>2111.54</v>
      </c>
      <c r="E16" s="77">
        <v>926.11</v>
      </c>
      <c r="F16" s="77">
        <v>239.87</v>
      </c>
      <c r="G16" s="77">
        <v>30.49</v>
      </c>
    </row>
    <row r="17" spans="1:7" x14ac:dyDescent="0.25">
      <c r="A17" s="78" t="s">
        <v>60</v>
      </c>
      <c r="B17" s="78">
        <v>1</v>
      </c>
      <c r="C17" s="78">
        <v>4323.63</v>
      </c>
      <c r="D17" s="78">
        <v>9457.08</v>
      </c>
      <c r="E17" s="78">
        <v>3160.56</v>
      </c>
      <c r="F17" s="78">
        <v>274.7</v>
      </c>
      <c r="G17" s="78">
        <v>118.73</v>
      </c>
    </row>
    <row r="18" spans="1:7" x14ac:dyDescent="0.25">
      <c r="A18" s="77" t="s">
        <v>60</v>
      </c>
      <c r="B18" s="77">
        <v>2</v>
      </c>
      <c r="C18" s="77">
        <v>4453.34</v>
      </c>
      <c r="D18" s="77">
        <v>9740.7900000000009</v>
      </c>
      <c r="E18" s="77">
        <v>3255.37</v>
      </c>
      <c r="F18" s="77">
        <v>282.94</v>
      </c>
      <c r="G18" s="77">
        <v>118.73</v>
      </c>
    </row>
    <row r="19" spans="1:7" x14ac:dyDescent="0.25">
      <c r="A19" s="78" t="s">
        <v>60</v>
      </c>
      <c r="B19" s="78">
        <v>3</v>
      </c>
      <c r="C19" s="78">
        <v>4586.9399999999996</v>
      </c>
      <c r="D19" s="78">
        <v>10033.01</v>
      </c>
      <c r="E19" s="78">
        <v>3353.03</v>
      </c>
      <c r="F19" s="78">
        <v>291.43</v>
      </c>
      <c r="G19" s="78">
        <v>118.73</v>
      </c>
    </row>
    <row r="20" spans="1:7" x14ac:dyDescent="0.25">
      <c r="A20" s="77" t="s">
        <v>60</v>
      </c>
      <c r="B20" s="77">
        <v>4</v>
      </c>
      <c r="C20" s="77">
        <v>4724.55</v>
      </c>
      <c r="D20" s="77">
        <v>10334</v>
      </c>
      <c r="E20" s="77">
        <v>3453.62</v>
      </c>
      <c r="F20" s="77">
        <v>300.17</v>
      </c>
      <c r="G20" s="77">
        <v>118.73</v>
      </c>
    </row>
    <row r="21" spans="1:7" x14ac:dyDescent="0.25">
      <c r="A21" s="78" t="s">
        <v>60</v>
      </c>
      <c r="B21" s="78">
        <v>5</v>
      </c>
      <c r="C21" s="78">
        <v>4866.28</v>
      </c>
      <c r="D21" s="78">
        <v>10644.02</v>
      </c>
      <c r="E21" s="78">
        <v>3557.23</v>
      </c>
      <c r="F21" s="78">
        <v>309.18</v>
      </c>
      <c r="G21" s="78">
        <v>118.73</v>
      </c>
    </row>
    <row r="22" spans="1:7" x14ac:dyDescent="0.25">
      <c r="A22" s="77" t="s">
        <v>59</v>
      </c>
      <c r="B22" s="77">
        <v>1</v>
      </c>
      <c r="C22" s="77">
        <v>773.71</v>
      </c>
      <c r="D22" s="77">
        <v>840.71</v>
      </c>
      <c r="E22" s="77">
        <v>443.59</v>
      </c>
      <c r="F22" s="77">
        <v>142.04</v>
      </c>
      <c r="G22" s="77">
        <v>8.66</v>
      </c>
    </row>
    <row r="23" spans="1:7" x14ac:dyDescent="0.25">
      <c r="A23" s="78" t="s">
        <v>59</v>
      </c>
      <c r="B23" s="78">
        <v>2</v>
      </c>
      <c r="C23" s="78">
        <v>796.92</v>
      </c>
      <c r="D23" s="78">
        <v>865.93</v>
      </c>
      <c r="E23" s="78">
        <v>456.9</v>
      </c>
      <c r="F23" s="78">
        <v>146.30000000000001</v>
      </c>
      <c r="G23" s="78">
        <v>8.66</v>
      </c>
    </row>
    <row r="24" spans="1:7" x14ac:dyDescent="0.25">
      <c r="A24" s="77" t="s">
        <v>59</v>
      </c>
      <c r="B24" s="77">
        <v>3</v>
      </c>
      <c r="C24" s="77">
        <v>820.82</v>
      </c>
      <c r="D24" s="77">
        <v>891.91</v>
      </c>
      <c r="E24" s="77">
        <v>470.6</v>
      </c>
      <c r="F24" s="77">
        <v>150.69</v>
      </c>
      <c r="G24" s="77">
        <v>8.66</v>
      </c>
    </row>
    <row r="25" spans="1:7" x14ac:dyDescent="0.25">
      <c r="A25" s="78" t="s">
        <v>59</v>
      </c>
      <c r="B25" s="78">
        <v>4</v>
      </c>
      <c r="C25" s="78">
        <v>845.45</v>
      </c>
      <c r="D25" s="78">
        <v>918.66</v>
      </c>
      <c r="E25" s="78">
        <v>484.72</v>
      </c>
      <c r="F25" s="78">
        <v>155.21</v>
      </c>
      <c r="G25" s="78">
        <v>8.66</v>
      </c>
    </row>
    <row r="26" spans="1:7" x14ac:dyDescent="0.25">
      <c r="A26" s="77" t="s">
        <v>59</v>
      </c>
      <c r="B26" s="77">
        <v>5</v>
      </c>
      <c r="C26" s="77">
        <v>870.81</v>
      </c>
      <c r="D26" s="77">
        <v>946.22</v>
      </c>
      <c r="E26" s="77">
        <v>499.26</v>
      </c>
      <c r="F26" s="77">
        <v>159.86000000000001</v>
      </c>
      <c r="G26" s="77">
        <v>8.66</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26"/>
  <sheetViews>
    <sheetView showGridLines="0" topLeftCell="C1" zoomScaleNormal="100" workbookViewId="0"/>
  </sheetViews>
  <sheetFormatPr defaultColWidth="8.7109375" defaultRowHeight="15" x14ac:dyDescent="0.25"/>
  <cols>
    <col min="1" max="6" width="14" customWidth="1"/>
    <col min="7" max="8" width="15" customWidth="1"/>
    <col min="9" max="9" width="16" customWidth="1"/>
    <col min="10" max="10" width="19" customWidth="1"/>
    <col min="11" max="11" width="16" customWidth="1"/>
    <col min="12" max="12" width="22" customWidth="1"/>
    <col min="13" max="13" width="20" customWidth="1"/>
    <col min="14" max="14" width="19" customWidth="1"/>
    <col min="15" max="15" width="22" customWidth="1"/>
  </cols>
  <sheetData>
    <row r="1" spans="1:15" x14ac:dyDescent="0.25">
      <c r="A1" s="4" t="s">
        <v>68</v>
      </c>
      <c r="B1" s="4" t="s">
        <v>69</v>
      </c>
      <c r="C1" s="4" t="s">
        <v>70</v>
      </c>
      <c r="D1" s="4" t="s">
        <v>71</v>
      </c>
      <c r="E1" s="4" t="s">
        <v>204</v>
      </c>
      <c r="F1" s="4" t="s">
        <v>73</v>
      </c>
      <c r="G1" s="4" t="s">
        <v>225</v>
      </c>
      <c r="H1" s="4" t="s">
        <v>226</v>
      </c>
      <c r="I1" s="4" t="s">
        <v>80</v>
      </c>
      <c r="J1" s="4" t="s">
        <v>81</v>
      </c>
      <c r="K1" s="4" t="s">
        <v>82</v>
      </c>
      <c r="L1" s="4" t="s">
        <v>83</v>
      </c>
      <c r="M1" s="4" t="s">
        <v>79</v>
      </c>
      <c r="N1" s="4" t="s">
        <v>77</v>
      </c>
      <c r="O1" s="4" t="s">
        <v>89</v>
      </c>
    </row>
    <row r="2" spans="1:15" x14ac:dyDescent="0.25">
      <c r="A2" s="77" t="s">
        <v>121</v>
      </c>
      <c r="B2" s="77" t="s">
        <v>104</v>
      </c>
      <c r="C2" s="77" t="s">
        <v>122</v>
      </c>
      <c r="D2" s="77" t="s">
        <v>57</v>
      </c>
      <c r="E2" s="77">
        <v>1989</v>
      </c>
      <c r="F2" s="77" t="s">
        <v>106</v>
      </c>
      <c r="G2" s="77">
        <v>410.1</v>
      </c>
      <c r="H2" s="77">
        <v>1639</v>
      </c>
      <c r="I2" s="77">
        <v>3218.2</v>
      </c>
      <c r="J2" s="77">
        <v>946</v>
      </c>
      <c r="K2" s="77">
        <v>1005.1</v>
      </c>
      <c r="L2" s="77">
        <v>154.4</v>
      </c>
      <c r="M2" s="77">
        <v>5323.7</v>
      </c>
      <c r="N2" s="77">
        <v>299.66000000000003</v>
      </c>
      <c r="O2" s="77">
        <v>13.92</v>
      </c>
    </row>
    <row r="3" spans="1:15" x14ac:dyDescent="0.25">
      <c r="A3" s="78" t="s">
        <v>103</v>
      </c>
      <c r="B3" s="78" t="s">
        <v>104</v>
      </c>
      <c r="C3" s="78" t="s">
        <v>105</v>
      </c>
      <c r="D3" s="78" t="s">
        <v>57</v>
      </c>
      <c r="E3" s="78">
        <v>1992</v>
      </c>
      <c r="F3" s="78" t="s">
        <v>106</v>
      </c>
      <c r="G3" s="78">
        <v>1436.4</v>
      </c>
      <c r="H3" s="78">
        <v>1375.9</v>
      </c>
      <c r="I3" s="78">
        <v>3019.5</v>
      </c>
      <c r="J3" s="78">
        <v>809.3</v>
      </c>
      <c r="K3" s="78">
        <v>1149.4000000000001</v>
      </c>
      <c r="L3" s="78">
        <v>938.6</v>
      </c>
      <c r="M3" s="78">
        <v>5916.8</v>
      </c>
      <c r="N3" s="78">
        <v>-4.21</v>
      </c>
      <c r="O3" s="78">
        <v>19.920000000000002</v>
      </c>
    </row>
    <row r="4" spans="1:15" x14ac:dyDescent="0.25">
      <c r="A4" s="77" t="s">
        <v>143</v>
      </c>
      <c r="B4" s="77" t="s">
        <v>104</v>
      </c>
      <c r="C4" s="77" t="s">
        <v>99</v>
      </c>
      <c r="D4" s="77" t="s">
        <v>57</v>
      </c>
      <c r="E4" s="77">
        <v>1992</v>
      </c>
      <c r="F4" s="77" t="s">
        <v>106</v>
      </c>
      <c r="G4" s="77">
        <v>458.6</v>
      </c>
      <c r="H4" s="77">
        <v>511.2</v>
      </c>
      <c r="I4" s="77">
        <v>1309.3</v>
      </c>
      <c r="J4" s="77">
        <v>736.2</v>
      </c>
      <c r="K4" s="77">
        <v>47.2</v>
      </c>
      <c r="L4" s="77"/>
      <c r="M4" s="77">
        <v>2092.6999999999998</v>
      </c>
      <c r="N4" s="77">
        <v>11.47</v>
      </c>
      <c r="O4" s="77">
        <v>0.9</v>
      </c>
    </row>
    <row r="5" spans="1:15" ht="24" x14ac:dyDescent="0.25">
      <c r="A5" s="78" t="s">
        <v>141</v>
      </c>
      <c r="B5" s="78" t="s">
        <v>104</v>
      </c>
      <c r="C5" s="78" t="s">
        <v>99</v>
      </c>
      <c r="D5" s="78" t="s">
        <v>57</v>
      </c>
      <c r="E5" s="78">
        <v>1996</v>
      </c>
      <c r="F5" s="78" t="s">
        <v>106</v>
      </c>
      <c r="G5" s="78">
        <v>140.19999999999999</v>
      </c>
      <c r="H5" s="78">
        <v>130.69999999999999</v>
      </c>
      <c r="I5" s="78">
        <v>263.89999999999998</v>
      </c>
      <c r="J5" s="78">
        <v>105.2</v>
      </c>
      <c r="K5" s="78">
        <v>138.19999999999999</v>
      </c>
      <c r="L5" s="78">
        <v>72.3</v>
      </c>
      <c r="M5" s="78">
        <v>579.6</v>
      </c>
      <c r="N5" s="78">
        <v>-6.78</v>
      </c>
      <c r="O5" s="78">
        <v>9.98</v>
      </c>
    </row>
    <row r="6" spans="1:15" ht="24" x14ac:dyDescent="0.25">
      <c r="A6" s="77" t="s">
        <v>152</v>
      </c>
      <c r="B6" s="77" t="s">
        <v>153</v>
      </c>
      <c r="C6" s="77" t="s">
        <v>114</v>
      </c>
      <c r="D6" s="77" t="s">
        <v>57</v>
      </c>
      <c r="E6" s="77">
        <v>1996</v>
      </c>
      <c r="F6" s="77" t="s">
        <v>106</v>
      </c>
      <c r="G6" s="77">
        <v>249.4</v>
      </c>
      <c r="H6" s="77">
        <v>230.8</v>
      </c>
      <c r="I6" s="77">
        <v>257.89999999999998</v>
      </c>
      <c r="J6" s="77">
        <v>90.9</v>
      </c>
      <c r="K6" s="77">
        <v>114</v>
      </c>
      <c r="L6" s="77"/>
      <c r="M6" s="77">
        <v>462.8</v>
      </c>
      <c r="N6" s="77">
        <v>-7.46</v>
      </c>
      <c r="O6" s="77">
        <v>5.03</v>
      </c>
    </row>
    <row r="7" spans="1:15" x14ac:dyDescent="0.25">
      <c r="A7" s="78" t="s">
        <v>118</v>
      </c>
      <c r="B7" s="78" t="s">
        <v>119</v>
      </c>
      <c r="C7" s="78" t="s">
        <v>110</v>
      </c>
      <c r="D7" s="78" t="s">
        <v>58</v>
      </c>
      <c r="E7" s="78">
        <v>1998</v>
      </c>
      <c r="F7" s="78" t="s">
        <v>106</v>
      </c>
      <c r="G7" s="78">
        <v>73.3</v>
      </c>
      <c r="H7" s="78">
        <v>99.3</v>
      </c>
      <c r="I7" s="78">
        <v>221.2</v>
      </c>
      <c r="J7" s="78">
        <v>87.3</v>
      </c>
      <c r="K7" s="78">
        <v>13.5</v>
      </c>
      <c r="L7" s="78">
        <v>24.6</v>
      </c>
      <c r="M7" s="78">
        <v>346.6</v>
      </c>
      <c r="N7" s="78">
        <v>35.47</v>
      </c>
      <c r="O7" s="78">
        <v>3.15</v>
      </c>
    </row>
    <row r="8" spans="1:15" ht="24" x14ac:dyDescent="0.25">
      <c r="A8" s="77" t="s">
        <v>137</v>
      </c>
      <c r="B8" s="77" t="s">
        <v>138</v>
      </c>
      <c r="C8" s="77" t="s">
        <v>128</v>
      </c>
      <c r="D8" s="77" t="s">
        <v>57</v>
      </c>
      <c r="E8" s="77">
        <v>1998</v>
      </c>
      <c r="F8" s="77" t="s">
        <v>106</v>
      </c>
      <c r="G8" s="77">
        <v>61.3</v>
      </c>
      <c r="H8" s="77">
        <v>61.7</v>
      </c>
      <c r="I8" s="77">
        <v>60.2</v>
      </c>
      <c r="J8" s="77">
        <v>51.1</v>
      </c>
      <c r="K8" s="77">
        <v>9.8000000000000007</v>
      </c>
      <c r="L8" s="77">
        <v>4.0999999999999996</v>
      </c>
      <c r="M8" s="77">
        <v>125.2</v>
      </c>
      <c r="N8" s="77">
        <v>0.65</v>
      </c>
      <c r="O8" s="77">
        <v>1.56</v>
      </c>
    </row>
    <row r="9" spans="1:15" ht="24" x14ac:dyDescent="0.25">
      <c r="A9" s="78" t="s">
        <v>139</v>
      </c>
      <c r="B9" s="78" t="s">
        <v>140</v>
      </c>
      <c r="C9" s="78" t="s">
        <v>99</v>
      </c>
      <c r="D9" s="78" t="s">
        <v>57</v>
      </c>
      <c r="E9" s="78">
        <v>1999</v>
      </c>
      <c r="F9" s="78" t="s">
        <v>106</v>
      </c>
      <c r="G9" s="78">
        <v>183.6</v>
      </c>
      <c r="H9" s="78">
        <v>183.25</v>
      </c>
      <c r="I9" s="78">
        <v>183.25</v>
      </c>
      <c r="J9" s="78">
        <v>87.3</v>
      </c>
      <c r="K9" s="78">
        <v>15.05</v>
      </c>
      <c r="L9" s="78"/>
      <c r="M9" s="78">
        <v>285.60000000000002</v>
      </c>
      <c r="N9" s="78">
        <v>-0.19</v>
      </c>
      <c r="O9" s="78">
        <v>0.78</v>
      </c>
    </row>
    <row r="10" spans="1:15" ht="24" x14ac:dyDescent="0.25">
      <c r="A10" s="77" t="s">
        <v>144</v>
      </c>
      <c r="B10" s="77" t="s">
        <v>104</v>
      </c>
      <c r="C10" s="77" t="s">
        <v>99</v>
      </c>
      <c r="D10" s="77" t="s">
        <v>57</v>
      </c>
      <c r="E10" s="77">
        <v>1999</v>
      </c>
      <c r="F10" s="77" t="s">
        <v>106</v>
      </c>
      <c r="G10" s="77">
        <v>334.4</v>
      </c>
      <c r="H10" s="77">
        <v>450</v>
      </c>
      <c r="I10" s="77">
        <v>681.6</v>
      </c>
      <c r="J10" s="77">
        <v>142.1</v>
      </c>
      <c r="K10" s="77">
        <v>243.8</v>
      </c>
      <c r="L10" s="77">
        <v>463.9</v>
      </c>
      <c r="M10" s="77">
        <v>1531.4</v>
      </c>
      <c r="N10" s="77">
        <v>34.57</v>
      </c>
      <c r="O10" s="77">
        <v>18.600000000000001</v>
      </c>
    </row>
    <row r="11" spans="1:15" x14ac:dyDescent="0.25">
      <c r="A11" s="78" t="s">
        <v>159</v>
      </c>
      <c r="B11" s="78" t="s">
        <v>160</v>
      </c>
      <c r="C11" s="78" t="s">
        <v>110</v>
      </c>
      <c r="D11" s="78" t="s">
        <v>59</v>
      </c>
      <c r="E11" s="78">
        <v>1999</v>
      </c>
      <c r="F11" s="78" t="s">
        <v>106</v>
      </c>
      <c r="G11" s="78">
        <v>117.8</v>
      </c>
      <c r="H11" s="78">
        <v>126.4</v>
      </c>
      <c r="I11" s="78">
        <v>244</v>
      </c>
      <c r="J11" s="78">
        <v>78</v>
      </c>
      <c r="K11" s="78">
        <v>54</v>
      </c>
      <c r="L11" s="78">
        <v>51.6</v>
      </c>
      <c r="M11" s="78">
        <v>427.6</v>
      </c>
      <c r="N11" s="78">
        <v>7.3</v>
      </c>
      <c r="O11" s="78">
        <v>12.12</v>
      </c>
    </row>
    <row r="12" spans="1:15" ht="24" x14ac:dyDescent="0.25">
      <c r="A12" s="77" t="s">
        <v>97</v>
      </c>
      <c r="B12" s="77" t="s">
        <v>98</v>
      </c>
      <c r="C12" s="77" t="s">
        <v>99</v>
      </c>
      <c r="D12" s="77" t="s">
        <v>57</v>
      </c>
      <c r="E12" s="77">
        <v>2001</v>
      </c>
      <c r="F12" s="77" t="s">
        <v>100</v>
      </c>
      <c r="G12" s="77">
        <v>267.2</v>
      </c>
      <c r="H12" s="77">
        <v>366.1</v>
      </c>
      <c r="I12" s="77">
        <v>677</v>
      </c>
      <c r="J12" s="77">
        <v>99.7</v>
      </c>
      <c r="K12" s="77">
        <v>78.8</v>
      </c>
      <c r="L12" s="77">
        <v>260.7</v>
      </c>
      <c r="M12" s="77">
        <v>1116.2</v>
      </c>
      <c r="N12" s="77">
        <v>37.01</v>
      </c>
      <c r="O12" s="77">
        <v>24.03</v>
      </c>
    </row>
    <row r="13" spans="1:15" x14ac:dyDescent="0.25">
      <c r="A13" s="78" t="s">
        <v>123</v>
      </c>
      <c r="B13" s="78" t="s">
        <v>124</v>
      </c>
      <c r="C13" s="78" t="s">
        <v>125</v>
      </c>
      <c r="D13" s="78" t="s">
        <v>59</v>
      </c>
      <c r="E13" s="78">
        <v>2001</v>
      </c>
      <c r="F13" s="78" t="s">
        <v>100</v>
      </c>
      <c r="G13" s="78">
        <v>126.1</v>
      </c>
      <c r="H13" s="78">
        <v>162.9</v>
      </c>
      <c r="I13" s="78">
        <v>300.5</v>
      </c>
      <c r="J13" s="78">
        <v>90.4</v>
      </c>
      <c r="K13" s="78">
        <v>84.3</v>
      </c>
      <c r="L13" s="78"/>
      <c r="M13" s="78">
        <v>475.2</v>
      </c>
      <c r="N13" s="78">
        <v>29.18</v>
      </c>
      <c r="O13" s="78">
        <v>3.09</v>
      </c>
    </row>
    <row r="14" spans="1:15" x14ac:dyDescent="0.25">
      <c r="A14" s="77" t="s">
        <v>108</v>
      </c>
      <c r="B14" s="77" t="s">
        <v>109</v>
      </c>
      <c r="C14" s="77" t="s">
        <v>110</v>
      </c>
      <c r="D14" s="77" t="s">
        <v>58</v>
      </c>
      <c r="E14" s="77">
        <v>2002</v>
      </c>
      <c r="F14" s="77" t="s">
        <v>100</v>
      </c>
      <c r="G14" s="77">
        <v>69.099999999999994</v>
      </c>
      <c r="H14" s="77">
        <v>96.8</v>
      </c>
      <c r="I14" s="77">
        <v>172</v>
      </c>
      <c r="J14" s="77">
        <v>86.1</v>
      </c>
      <c r="K14" s="77">
        <v>0</v>
      </c>
      <c r="L14" s="77"/>
      <c r="M14" s="77">
        <v>258.10000000000002</v>
      </c>
      <c r="N14" s="77">
        <v>40.090000000000003</v>
      </c>
      <c r="O14" s="77">
        <v>0</v>
      </c>
    </row>
    <row r="15" spans="1:15" x14ac:dyDescent="0.25">
      <c r="A15" s="78" t="s">
        <v>147</v>
      </c>
      <c r="B15" s="78" t="s">
        <v>148</v>
      </c>
      <c r="C15" s="78" t="s">
        <v>149</v>
      </c>
      <c r="D15" s="78" t="s">
        <v>57</v>
      </c>
      <c r="E15" s="78">
        <v>2004</v>
      </c>
      <c r="F15" s="78" t="s">
        <v>100</v>
      </c>
      <c r="G15" s="78">
        <v>326.2</v>
      </c>
      <c r="H15" s="78">
        <v>390</v>
      </c>
      <c r="I15" s="78">
        <v>363.3</v>
      </c>
      <c r="J15" s="78">
        <v>115.2</v>
      </c>
      <c r="K15" s="78">
        <v>145.69999999999999</v>
      </c>
      <c r="L15" s="78">
        <v>86.1</v>
      </c>
      <c r="M15" s="78">
        <v>710.3</v>
      </c>
      <c r="N15" s="78">
        <v>19.559999999999999</v>
      </c>
      <c r="O15" s="78">
        <v>10.74</v>
      </c>
    </row>
    <row r="16" spans="1:15" x14ac:dyDescent="0.25">
      <c r="A16" s="77" t="s">
        <v>132</v>
      </c>
      <c r="B16" s="77" t="s">
        <v>133</v>
      </c>
      <c r="C16" s="77" t="s">
        <v>122</v>
      </c>
      <c r="D16" s="77" t="s">
        <v>57</v>
      </c>
      <c r="E16" s="77">
        <v>2006</v>
      </c>
      <c r="F16" s="77" t="s">
        <v>100</v>
      </c>
      <c r="G16" s="77">
        <v>700</v>
      </c>
      <c r="H16" s="77">
        <v>1114.0999999999999</v>
      </c>
      <c r="I16" s="77">
        <v>995.9</v>
      </c>
      <c r="J16" s="77">
        <v>254.1</v>
      </c>
      <c r="K16" s="77">
        <v>208</v>
      </c>
      <c r="L16" s="77">
        <v>211.8</v>
      </c>
      <c r="M16" s="77">
        <v>1669.8</v>
      </c>
      <c r="N16" s="77">
        <v>59.16</v>
      </c>
      <c r="O16" s="77">
        <v>13.94</v>
      </c>
    </row>
    <row r="17" spans="1:15" x14ac:dyDescent="0.25">
      <c r="A17" s="78" t="s">
        <v>116</v>
      </c>
      <c r="B17" s="78" t="s">
        <v>117</v>
      </c>
      <c r="C17" s="78" t="s">
        <v>114</v>
      </c>
      <c r="D17" s="78" t="s">
        <v>57</v>
      </c>
      <c r="E17" s="78">
        <v>2007</v>
      </c>
      <c r="F17" s="78" t="s">
        <v>100</v>
      </c>
      <c r="G17" s="78">
        <v>202.8</v>
      </c>
      <c r="H17" s="78">
        <v>287.10000000000002</v>
      </c>
      <c r="I17" s="78">
        <v>444.7</v>
      </c>
      <c r="J17" s="78">
        <v>137.4</v>
      </c>
      <c r="K17" s="78">
        <v>139.69999999999999</v>
      </c>
      <c r="L17" s="78">
        <v>27.9</v>
      </c>
      <c r="M17" s="78">
        <v>749.7</v>
      </c>
      <c r="N17" s="78">
        <v>41.57</v>
      </c>
      <c r="O17" s="78">
        <v>11.1</v>
      </c>
    </row>
    <row r="18" spans="1:15" x14ac:dyDescent="0.25">
      <c r="A18" s="77" t="s">
        <v>126</v>
      </c>
      <c r="B18" s="77" t="s">
        <v>127</v>
      </c>
      <c r="C18" s="77" t="s">
        <v>128</v>
      </c>
      <c r="D18" s="77" t="s">
        <v>57</v>
      </c>
      <c r="E18" s="77">
        <v>2011</v>
      </c>
      <c r="F18" s="77" t="s">
        <v>129</v>
      </c>
      <c r="G18" s="77">
        <v>213.5</v>
      </c>
      <c r="H18" s="77">
        <v>224.35</v>
      </c>
      <c r="I18" s="77">
        <v>200.4</v>
      </c>
      <c r="J18" s="77">
        <v>101.95</v>
      </c>
      <c r="K18" s="77">
        <v>12.4</v>
      </c>
      <c r="L18" s="77">
        <v>12.4</v>
      </c>
      <c r="M18" s="77">
        <v>327.2</v>
      </c>
      <c r="N18" s="77">
        <v>5.08</v>
      </c>
      <c r="O18" s="77">
        <v>1.27</v>
      </c>
    </row>
    <row r="19" spans="1:15" x14ac:dyDescent="0.25">
      <c r="A19" s="78" t="s">
        <v>130</v>
      </c>
      <c r="B19" s="78" t="s">
        <v>131</v>
      </c>
      <c r="C19" s="78" t="s">
        <v>128</v>
      </c>
      <c r="D19" s="78" t="s">
        <v>57</v>
      </c>
      <c r="E19" s="78">
        <v>2011</v>
      </c>
      <c r="F19" s="78" t="s">
        <v>129</v>
      </c>
      <c r="G19" s="78">
        <v>213.5</v>
      </c>
      <c r="H19" s="78">
        <v>224.35</v>
      </c>
      <c r="I19" s="78">
        <v>200.4</v>
      </c>
      <c r="J19" s="78">
        <v>101.95</v>
      </c>
      <c r="K19" s="78">
        <v>12.4</v>
      </c>
      <c r="L19" s="78">
        <v>12.4</v>
      </c>
      <c r="M19" s="78">
        <v>327.2</v>
      </c>
      <c r="N19" s="78">
        <v>5.08</v>
      </c>
      <c r="O19" s="78">
        <v>1.27</v>
      </c>
    </row>
    <row r="20" spans="1:15" x14ac:dyDescent="0.25">
      <c r="A20" s="77" t="s">
        <v>150</v>
      </c>
      <c r="B20" s="77" t="s">
        <v>151</v>
      </c>
      <c r="C20" s="77" t="s">
        <v>99</v>
      </c>
      <c r="D20" s="77" t="s">
        <v>60</v>
      </c>
      <c r="E20" s="77">
        <v>2011</v>
      </c>
      <c r="F20" s="77" t="s">
        <v>129</v>
      </c>
      <c r="G20" s="77">
        <v>1068.5</v>
      </c>
      <c r="H20" s="77">
        <v>2337.1</v>
      </c>
      <c r="I20" s="77">
        <v>3068.5</v>
      </c>
      <c r="J20" s="77">
        <v>255.7</v>
      </c>
      <c r="K20" s="77">
        <v>266.7</v>
      </c>
      <c r="L20" s="77">
        <v>606.79999999999995</v>
      </c>
      <c r="M20" s="77">
        <v>4197.7</v>
      </c>
      <c r="N20" s="77">
        <v>118.73</v>
      </c>
      <c r="O20" s="77">
        <v>12.31</v>
      </c>
    </row>
    <row r="21" spans="1:15" x14ac:dyDescent="0.25">
      <c r="A21" s="78" t="s">
        <v>134</v>
      </c>
      <c r="B21" s="78" t="s">
        <v>104</v>
      </c>
      <c r="C21" s="78" t="s">
        <v>128</v>
      </c>
      <c r="D21" s="78" t="s">
        <v>57</v>
      </c>
      <c r="E21" s="78">
        <v>2013</v>
      </c>
      <c r="F21" s="78" t="s">
        <v>129</v>
      </c>
      <c r="G21" s="78">
        <v>262.89999999999998</v>
      </c>
      <c r="H21" s="78">
        <v>279.2</v>
      </c>
      <c r="I21" s="78">
        <v>269.8</v>
      </c>
      <c r="J21" s="78">
        <v>75.5</v>
      </c>
      <c r="K21" s="78">
        <v>14</v>
      </c>
      <c r="L21" s="78">
        <v>6.5</v>
      </c>
      <c r="M21" s="78">
        <v>365.8</v>
      </c>
      <c r="N21" s="78">
        <v>6.2</v>
      </c>
      <c r="O21" s="78">
        <v>0.61</v>
      </c>
    </row>
    <row r="22" spans="1:15" x14ac:dyDescent="0.25">
      <c r="A22" s="77" t="s">
        <v>145</v>
      </c>
      <c r="B22" s="77" t="s">
        <v>146</v>
      </c>
      <c r="C22" s="77" t="s">
        <v>99</v>
      </c>
      <c r="D22" s="77" t="s">
        <v>57</v>
      </c>
      <c r="E22" s="77">
        <v>2013</v>
      </c>
      <c r="F22" s="77" t="s">
        <v>129</v>
      </c>
      <c r="G22" s="77">
        <v>567.20000000000005</v>
      </c>
      <c r="H22" s="77">
        <v>551.1</v>
      </c>
      <c r="I22" s="77">
        <v>499.5</v>
      </c>
      <c r="J22" s="77">
        <v>218.1</v>
      </c>
      <c r="K22" s="77">
        <v>33</v>
      </c>
      <c r="L22" s="77">
        <v>191.9</v>
      </c>
      <c r="M22" s="77">
        <v>942.5</v>
      </c>
      <c r="N22" s="77">
        <v>-2.84</v>
      </c>
      <c r="O22" s="77">
        <v>10.33</v>
      </c>
    </row>
    <row r="23" spans="1:15" x14ac:dyDescent="0.25">
      <c r="A23" s="78" t="s">
        <v>154</v>
      </c>
      <c r="B23" s="78" t="s">
        <v>155</v>
      </c>
      <c r="C23" s="78" t="s">
        <v>114</v>
      </c>
      <c r="D23" s="78" t="s">
        <v>59</v>
      </c>
      <c r="E23" s="78">
        <v>2016</v>
      </c>
      <c r="F23" s="78" t="s">
        <v>129</v>
      </c>
      <c r="G23" s="78">
        <v>865.9</v>
      </c>
      <c r="H23" s="78">
        <v>775.1</v>
      </c>
      <c r="I23" s="78">
        <v>747.5</v>
      </c>
      <c r="J23" s="78">
        <v>224.5</v>
      </c>
      <c r="K23" s="78">
        <v>275.39999999999998</v>
      </c>
      <c r="L23" s="78">
        <v>103.3</v>
      </c>
      <c r="M23" s="78">
        <v>1350.7</v>
      </c>
      <c r="N23" s="78">
        <v>-10.49</v>
      </c>
      <c r="O23" s="78">
        <v>7.52</v>
      </c>
    </row>
    <row r="24" spans="1:15" x14ac:dyDescent="0.25">
      <c r="A24" s="77" t="s">
        <v>112</v>
      </c>
      <c r="B24" s="77" t="s">
        <v>113</v>
      </c>
      <c r="C24" s="77" t="s">
        <v>114</v>
      </c>
      <c r="D24" s="77" t="s">
        <v>61</v>
      </c>
      <c r="E24" s="77">
        <v>2021</v>
      </c>
      <c r="F24" s="77" t="s">
        <v>115</v>
      </c>
      <c r="G24" s="77">
        <v>219</v>
      </c>
      <c r="H24" s="77">
        <v>258.3</v>
      </c>
      <c r="I24" s="77">
        <v>274.8</v>
      </c>
      <c r="J24" s="77">
        <v>76.3</v>
      </c>
      <c r="K24" s="77">
        <v>23.7</v>
      </c>
      <c r="L24" s="77"/>
      <c r="M24" s="77">
        <v>374.8</v>
      </c>
      <c r="N24" s="77">
        <v>17.95</v>
      </c>
      <c r="O24" s="77">
        <v>0.84</v>
      </c>
    </row>
    <row r="25" spans="1:15" x14ac:dyDescent="0.25">
      <c r="A25" s="78" t="s">
        <v>135</v>
      </c>
      <c r="B25" s="78" t="s">
        <v>136</v>
      </c>
      <c r="C25" s="78" t="s">
        <v>122</v>
      </c>
      <c r="D25" s="78" t="s">
        <v>58</v>
      </c>
      <c r="E25" s="78">
        <v>2021</v>
      </c>
      <c r="F25" s="78" t="s">
        <v>115</v>
      </c>
      <c r="G25" s="78">
        <v>990</v>
      </c>
      <c r="H25" s="78">
        <v>999.2</v>
      </c>
      <c r="I25" s="78">
        <v>594.1</v>
      </c>
      <c r="J25" s="78">
        <v>167.4</v>
      </c>
      <c r="K25" s="78">
        <v>328.1</v>
      </c>
      <c r="L25" s="78"/>
      <c r="M25" s="78">
        <v>1089.5999999999999</v>
      </c>
      <c r="N25" s="78">
        <v>0.93</v>
      </c>
      <c r="O25" s="78">
        <v>3.5</v>
      </c>
    </row>
    <row r="26" spans="1:15" x14ac:dyDescent="0.25">
      <c r="A26" s="77" t="s">
        <v>156</v>
      </c>
      <c r="B26" s="77" t="s">
        <v>157</v>
      </c>
      <c r="C26" s="77" t="s">
        <v>158</v>
      </c>
      <c r="D26" s="77" t="s">
        <v>57</v>
      </c>
      <c r="E26" s="77">
        <v>2023</v>
      </c>
      <c r="F26" s="77" t="s">
        <v>115</v>
      </c>
      <c r="G26" s="77">
        <v>925</v>
      </c>
      <c r="H26" s="77">
        <v>1108.0999999999999</v>
      </c>
      <c r="I26" s="77">
        <v>935.9</v>
      </c>
      <c r="J26" s="77">
        <v>115.9</v>
      </c>
      <c r="K26" s="77">
        <v>150.9</v>
      </c>
      <c r="L26" s="77"/>
      <c r="M26" s="77">
        <v>1202.7</v>
      </c>
      <c r="N26" s="77">
        <v>19.79</v>
      </c>
      <c r="O26" s="77">
        <v>0.43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Summary</vt:lpstr>
      <vt:lpstr>Scenario_Model</vt:lpstr>
      <vt:lpstr>Pivot tables</vt:lpstr>
      <vt:lpstr>cost_view</vt:lpstr>
      <vt:lpstr>cost_risk_view</vt:lpstr>
      <vt:lpstr>cost_by_year</vt:lpstr>
      <vt:lpstr>plan_vs_actual</vt:lpstr>
      <vt:lpstr>scenario_summary</vt:lpstr>
      <vt:lpstr>outyear_projection</vt:lpstr>
      <vt:lpstr>mission_detail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Cameron Lewis</cp:lastModifiedBy>
  <cp:revision>1</cp:revision>
  <dcterms:created xsi:type="dcterms:W3CDTF">2026-02-27T22:12:08Z</dcterms:created>
  <dcterms:modified xsi:type="dcterms:W3CDTF">2026-02-28T04:23:46Z</dcterms:modified>
  <dc:language>en-US</dc:language>
</cp:coreProperties>
</file>